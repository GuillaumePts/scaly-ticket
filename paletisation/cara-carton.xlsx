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medespeupliers.sharepoint.com/sites/Supplychain/Documents partages/Logistique/LOGISTIQUE COMMUN/INDICATEUR LOGISTIQUE/"/>
    </mc:Choice>
  </mc:AlternateContent>
  <xr:revisionPtr revIDLastSave="237" documentId="8_{502859D7-8483-4CED-9B2F-565E84C1F10B}" xr6:coauthVersionLast="47" xr6:coauthVersionMax="47" xr10:uidLastSave="{D1131E2D-67D9-467B-8CB1-7465306BBCA4}"/>
  <bookViews>
    <workbookView xWindow="22932" yWindow="1284" windowWidth="23256" windowHeight="12456" activeTab="1" xr2:uid="{00000000-000D-0000-FFFF-FFFF00000000}"/>
  </bookViews>
  <sheets>
    <sheet name="Articles" sheetId="1" r:id="rId1"/>
    <sheet name="Emballages" sheetId="2" r:id="rId2"/>
    <sheet name="Palettis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G33" i="1"/>
  <c r="F33" i="1"/>
  <c r="E33" i="1"/>
  <c r="D102" i="1"/>
  <c r="E102" i="1" s="1"/>
  <c r="D137" i="1"/>
  <c r="E137" i="1" s="1"/>
  <c r="D136" i="1"/>
  <c r="E136" i="1" s="1"/>
  <c r="D109" i="1"/>
  <c r="E109" i="1" s="1"/>
  <c r="D101" i="1"/>
  <c r="E101" i="1" s="1"/>
  <c r="C136" i="3"/>
  <c r="D8" i="1"/>
  <c r="E8" i="1" s="1"/>
  <c r="E148" i="1"/>
  <c r="E149" i="1"/>
  <c r="E150" i="1"/>
  <c r="E151" i="1"/>
  <c r="D144" i="1"/>
  <c r="E144" i="1" s="1"/>
  <c r="D143" i="1"/>
  <c r="E143" i="1" s="1"/>
  <c r="E3" i="1"/>
  <c r="E9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5" i="1"/>
  <c r="E36" i="1"/>
  <c r="E38" i="1"/>
  <c r="E39" i="1"/>
  <c r="E40" i="1"/>
  <c r="E41" i="1"/>
  <c r="E42" i="1"/>
  <c r="E43" i="1"/>
  <c r="E44" i="1"/>
  <c r="E45" i="1"/>
  <c r="E46" i="1"/>
  <c r="E47" i="1"/>
  <c r="E48" i="1"/>
  <c r="E57" i="1"/>
  <c r="E58" i="1"/>
  <c r="E59" i="1"/>
  <c r="E61" i="1"/>
  <c r="E112" i="1"/>
  <c r="E113" i="1"/>
  <c r="E114" i="1"/>
  <c r="E115" i="1"/>
  <c r="E116" i="1"/>
  <c r="E138" i="1"/>
  <c r="E139" i="1"/>
  <c r="E140" i="1"/>
  <c r="E145" i="1"/>
  <c r="E146" i="1"/>
  <c r="E147" i="1"/>
  <c r="E152" i="1"/>
  <c r="E153" i="1"/>
  <c r="C156" i="3"/>
  <c r="C125" i="3"/>
  <c r="D111" i="1"/>
  <c r="E111" i="1" s="1"/>
  <c r="D110" i="1"/>
  <c r="E110" i="1" s="1"/>
  <c r="D60" i="1"/>
  <c r="E60" i="1" s="1"/>
  <c r="F2" i="1"/>
  <c r="D155" i="1"/>
  <c r="E155" i="1" s="1"/>
  <c r="D156" i="1"/>
  <c r="E156" i="1" s="1"/>
  <c r="D157" i="1"/>
  <c r="E157" i="1" s="1"/>
  <c r="D158" i="1"/>
  <c r="E158" i="1" s="1"/>
  <c r="D159" i="1"/>
  <c r="E159" i="1" s="1"/>
  <c r="D154" i="1"/>
  <c r="E154" i="1" s="1"/>
  <c r="D72" i="1"/>
  <c r="E72" i="1" s="1"/>
  <c r="D55" i="1" l="1"/>
  <c r="E55" i="1" s="1"/>
  <c r="D54" i="1"/>
  <c r="E54" i="1" s="1"/>
  <c r="D37" i="1"/>
  <c r="E37" i="1" s="1"/>
  <c r="D13" i="1"/>
  <c r="E13" i="1" s="1"/>
  <c r="D10" i="1"/>
  <c r="E10" i="1" s="1"/>
  <c r="D70" i="1"/>
  <c r="E70" i="1" s="1"/>
  <c r="D67" i="1"/>
  <c r="E67" i="1" s="1"/>
  <c r="D66" i="1"/>
  <c r="E66" i="1" s="1"/>
  <c r="D64" i="1"/>
  <c r="E64" i="1" s="1"/>
  <c r="D62" i="1"/>
  <c r="E62" i="1" s="1"/>
  <c r="D142" i="1"/>
  <c r="E142" i="1" s="1"/>
  <c r="D141" i="1"/>
  <c r="E141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53" i="1"/>
  <c r="E53" i="1" s="1"/>
  <c r="D52" i="1"/>
  <c r="E52" i="1" s="1"/>
  <c r="D51" i="1"/>
  <c r="E51" i="1" s="1"/>
  <c r="D50" i="1"/>
  <c r="E50" i="1" s="1"/>
  <c r="D49" i="1"/>
  <c r="E49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1" i="1"/>
  <c r="E71" i="1" s="1"/>
  <c r="D69" i="1"/>
  <c r="E69" i="1" s="1"/>
  <c r="D68" i="1"/>
  <c r="E68" i="1" s="1"/>
  <c r="D65" i="1"/>
  <c r="E65" i="1" s="1"/>
  <c r="D63" i="1"/>
  <c r="E63" i="1" s="1"/>
  <c r="D56" i="1"/>
  <c r="E56" i="1" s="1"/>
  <c r="D7" i="1"/>
  <c r="E7" i="1" s="1"/>
  <c r="H6" i="1"/>
  <c r="H5" i="1"/>
  <c r="H4" i="1"/>
  <c r="G6" i="1"/>
  <c r="G5" i="1"/>
  <c r="G4" i="1"/>
  <c r="F6" i="1"/>
  <c r="F5" i="1"/>
  <c r="F4" i="1"/>
  <c r="D6" i="1"/>
  <c r="E6" i="1" s="1"/>
  <c r="D5" i="1"/>
  <c r="E5" i="1" s="1"/>
  <c r="D4" i="1"/>
  <c r="E4" i="1" s="1"/>
  <c r="G140" i="1"/>
  <c r="G139" i="1"/>
  <c r="G138" i="1"/>
  <c r="G48" i="1"/>
  <c r="G47" i="1"/>
  <c r="G46" i="1"/>
  <c r="G45" i="1"/>
  <c r="G44" i="1"/>
  <c r="G43" i="1"/>
  <c r="G42" i="1"/>
  <c r="G41" i="1"/>
  <c r="G40" i="1"/>
  <c r="G39" i="1"/>
  <c r="G38" i="1"/>
  <c r="G36" i="1"/>
  <c r="G35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1" i="1"/>
  <c r="G3" i="1"/>
  <c r="F140" i="1"/>
  <c r="F139" i="1"/>
  <c r="F138" i="1"/>
  <c r="F48" i="1"/>
  <c r="F47" i="1"/>
  <c r="F46" i="1"/>
  <c r="F45" i="1"/>
  <c r="F44" i="1"/>
  <c r="F43" i="1"/>
  <c r="F42" i="1"/>
  <c r="F41" i="1"/>
  <c r="F40" i="1"/>
  <c r="F39" i="1"/>
  <c r="F38" i="1"/>
  <c r="F36" i="1"/>
  <c r="F35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1" i="1"/>
  <c r="F3" i="1"/>
  <c r="D2" i="1"/>
  <c r="E2" i="1" s="1"/>
  <c r="Q84" i="3"/>
  <c r="M84" i="3"/>
  <c r="H81" i="3"/>
  <c r="Q78" i="3"/>
  <c r="Q81" i="3" s="1"/>
  <c r="Q85" i="3" s="1"/>
  <c r="M78" i="3"/>
  <c r="M81" i="3" s="1"/>
  <c r="M85" i="3" s="1"/>
  <c r="Q73" i="3"/>
  <c r="M73" i="3"/>
  <c r="H70" i="3"/>
  <c r="Q67" i="3"/>
  <c r="Q70" i="3" s="1"/>
  <c r="Q74" i="3" s="1"/>
  <c r="M67" i="3"/>
  <c r="M70" i="3" s="1"/>
  <c r="M74" i="3" s="1"/>
  <c r="J62" i="3"/>
  <c r="J63" i="3" s="1"/>
  <c r="N50" i="3"/>
  <c r="M50" i="3"/>
  <c r="I50" i="3"/>
  <c r="I51" i="3" s="1"/>
  <c r="H50" i="3"/>
  <c r="R46" i="3"/>
  <c r="Q46" i="3"/>
  <c r="N46" i="3"/>
  <c r="M46" i="3"/>
  <c r="R45" i="3"/>
  <c r="Q45" i="3"/>
  <c r="H42" i="3"/>
  <c r="N34" i="3"/>
  <c r="M34" i="3"/>
  <c r="L34" i="3"/>
  <c r="K34" i="3"/>
  <c r="I34" i="3"/>
  <c r="I35" i="3" s="1"/>
  <c r="H34" i="3"/>
  <c r="H35" i="3" s="1"/>
  <c r="G34" i="3"/>
  <c r="G35" i="3" s="1"/>
  <c r="F34" i="3"/>
  <c r="F35" i="3" s="1"/>
  <c r="D34" i="3"/>
  <c r="D35" i="3" s="1"/>
  <c r="C34" i="3"/>
  <c r="C35" i="3" s="1"/>
  <c r="R30" i="3"/>
  <c r="Q30" i="3"/>
  <c r="P30" i="3"/>
  <c r="O30" i="3"/>
  <c r="N30" i="3"/>
  <c r="M30" i="3"/>
  <c r="R29" i="3"/>
  <c r="Q29" i="3"/>
  <c r="P29" i="3"/>
  <c r="O29" i="3"/>
  <c r="N29" i="3"/>
  <c r="M29" i="3"/>
  <c r="L29" i="3"/>
  <c r="K29" i="3"/>
  <c r="L26" i="3"/>
  <c r="L30" i="3" s="1"/>
  <c r="K26" i="3"/>
  <c r="K30" i="3" s="1"/>
  <c r="N18" i="3"/>
  <c r="M18" i="3"/>
  <c r="L18" i="3"/>
  <c r="K18" i="3"/>
  <c r="I18" i="3"/>
  <c r="H18" i="3"/>
  <c r="G18" i="3"/>
  <c r="F18" i="3"/>
  <c r="E18" i="3"/>
  <c r="D18" i="3"/>
  <c r="C18" i="3"/>
  <c r="R10" i="3"/>
  <c r="R14" i="3" s="1"/>
  <c r="Q10" i="3"/>
  <c r="Q14" i="3" s="1"/>
  <c r="P10" i="3"/>
  <c r="P14" i="3" s="1"/>
  <c r="O10" i="3"/>
  <c r="O14" i="3" s="1"/>
  <c r="N10" i="3"/>
  <c r="N14" i="3" s="1"/>
  <c r="M10" i="3"/>
  <c r="M14" i="3" s="1"/>
  <c r="L10" i="3"/>
  <c r="L14" i="3" s="1"/>
  <c r="K10" i="3"/>
  <c r="K14" i="3" s="1"/>
  <c r="I10" i="3"/>
  <c r="H10" i="3"/>
  <c r="G10" i="3"/>
  <c r="F10" i="3"/>
  <c r="E10" i="3"/>
  <c r="D10" i="3"/>
  <c r="C10" i="3"/>
  <c r="G2" i="1"/>
  <c r="D19" i="3" l="1"/>
  <c r="K19" i="3"/>
  <c r="M19" i="3"/>
  <c r="E20" i="3"/>
  <c r="N20" i="3"/>
  <c r="M51" i="3"/>
  <c r="G36" i="3"/>
  <c r="L35" i="3"/>
  <c r="H51" i="3"/>
  <c r="E19" i="3"/>
  <c r="F19" i="3"/>
  <c r="N51" i="3"/>
  <c r="C20" i="3"/>
  <c r="L36" i="3"/>
  <c r="M35" i="3"/>
  <c r="L19" i="3"/>
  <c r="G20" i="3"/>
  <c r="H19" i="3"/>
  <c r="G19" i="3"/>
  <c r="M52" i="3"/>
  <c r="K36" i="3"/>
  <c r="K20" i="3"/>
  <c r="N19" i="3"/>
  <c r="I36" i="3"/>
  <c r="K35" i="3"/>
  <c r="M36" i="3"/>
  <c r="N52" i="3"/>
  <c r="I20" i="3"/>
  <c r="L20" i="3"/>
  <c r="D20" i="3"/>
  <c r="M20" i="3"/>
  <c r="N36" i="3"/>
  <c r="N35" i="3"/>
  <c r="J64" i="3"/>
  <c r="I19" i="3"/>
  <c r="C19" i="3"/>
  <c r="H20" i="3"/>
  <c r="F36" i="3"/>
  <c r="C36" i="3"/>
  <c r="F20" i="3"/>
  <c r="D36" i="3"/>
  <c r="H36" i="3"/>
  <c r="H52" i="3"/>
  <c r="I52" i="3"/>
</calcChain>
</file>

<file path=xl/sharedStrings.xml><?xml version="1.0" encoding="utf-8"?>
<sst xmlns="http://schemas.openxmlformats.org/spreadsheetml/2006/main" count="870" uniqueCount="445">
  <si>
    <t>N°</t>
  </si>
  <si>
    <t>Description</t>
  </si>
  <si>
    <t>Unité de base</t>
  </si>
  <si>
    <t>Poids unitaire brut (g)</t>
  </si>
  <si>
    <t xml:space="preserve">Poids x2 brut </t>
  </si>
  <si>
    <t>Poids x4 brut (coiffe)</t>
  </si>
  <si>
    <t>Poids x4 brut (sachet plastique)</t>
  </si>
  <si>
    <t>PF1010</t>
  </si>
  <si>
    <t>Yaourt nature verre</t>
  </si>
  <si>
    <t>POT</t>
  </si>
  <si>
    <t>PF1020</t>
  </si>
  <si>
    <t>Yaourt nature maigre verre</t>
  </si>
  <si>
    <t>PF1030</t>
  </si>
  <si>
    <t>Yaourt nat. part.écrémé carton</t>
  </si>
  <si>
    <t>PF1040</t>
  </si>
  <si>
    <t>Yaourt nature carton</t>
  </si>
  <si>
    <t>PF1045</t>
  </si>
  <si>
    <t>Yaourt vanille carton</t>
  </si>
  <si>
    <t>PF1050</t>
  </si>
  <si>
    <t>Seau yaourt étuvé nature 5kg</t>
  </si>
  <si>
    <t>SEAU</t>
  </si>
  <si>
    <t/>
  </si>
  <si>
    <t>PF1061</t>
  </si>
  <si>
    <t xml:space="preserve">Y nature CARTON sucré 5% </t>
  </si>
  <si>
    <t>PF1070MDDGF</t>
  </si>
  <si>
    <t>Yaourt Etuvé Nature 500G MDD</t>
  </si>
  <si>
    <t>PF2010</t>
  </si>
  <si>
    <t>Yaourt entier abricot verre</t>
  </si>
  <si>
    <t>PF2030</t>
  </si>
  <si>
    <t>Yaourt entier citron verre</t>
  </si>
  <si>
    <t>PF2031MDDGF</t>
  </si>
  <si>
    <t>Yaourt Etuvé Citron 500G MDD</t>
  </si>
  <si>
    <t>PF2040</t>
  </si>
  <si>
    <t>Yaourt entier poire verre</t>
  </si>
  <si>
    <t>PF2050</t>
  </si>
  <si>
    <t>Yaourt entier fraise verre</t>
  </si>
  <si>
    <t>PF2060</t>
  </si>
  <si>
    <t>Yaourt entier framboise verre</t>
  </si>
  <si>
    <t>PF2070</t>
  </si>
  <si>
    <t>Yaourt entier myrtille verre</t>
  </si>
  <si>
    <t>PF2080</t>
  </si>
  <si>
    <t>Yaourt entier F des bois verre</t>
  </si>
  <si>
    <t>PF2090</t>
  </si>
  <si>
    <t>Yaourt entier cerise verre</t>
  </si>
  <si>
    <t>PF2110</t>
  </si>
  <si>
    <t>Yaourt entier Mandarine</t>
  </si>
  <si>
    <t>PF2111</t>
  </si>
  <si>
    <t>Yaourt Entier PECHE</t>
  </si>
  <si>
    <t>PF2112</t>
  </si>
  <si>
    <t>L'INEDIT</t>
  </si>
  <si>
    <t>PF2113</t>
  </si>
  <si>
    <t>Yaourt Entier sur lit de Figue</t>
  </si>
  <si>
    <t>PF2200</t>
  </si>
  <si>
    <t>Yaourt entier groseille cassis</t>
  </si>
  <si>
    <t>PF2300</t>
  </si>
  <si>
    <t>Yaourt entier Nature RGF</t>
  </si>
  <si>
    <t>PF2310</t>
  </si>
  <si>
    <t>Yaourt entier Abricot RGF</t>
  </si>
  <si>
    <t>PF2320</t>
  </si>
  <si>
    <t>Yaourt entier Fraise RGF</t>
  </si>
  <si>
    <t>PF2330</t>
  </si>
  <si>
    <t>Yaourt entier Framboise RGF</t>
  </si>
  <si>
    <t>PF2340</t>
  </si>
  <si>
    <t>Yaourt entier Myrtille RGF</t>
  </si>
  <si>
    <t>PF2350</t>
  </si>
  <si>
    <t>Yaourt entier Vanille RGF</t>
  </si>
  <si>
    <t>PF3010</t>
  </si>
  <si>
    <t>Yaourt maigre mandarine verre</t>
  </si>
  <si>
    <t>PF3030</t>
  </si>
  <si>
    <t>Yaourt maigre griotte verre</t>
  </si>
  <si>
    <t>PF3040</t>
  </si>
  <si>
    <t>Yaourt maigre pêche verre</t>
  </si>
  <si>
    <t>PF4010</t>
  </si>
  <si>
    <t>Yaourt entier vanille verre</t>
  </si>
  <si>
    <t>PF4020MDDGF</t>
  </si>
  <si>
    <t>Yaourt Etuvé Vanille 500G MDD</t>
  </si>
  <si>
    <t>PF4030</t>
  </si>
  <si>
    <t>yaourt entier aromatisé citron</t>
  </si>
  <si>
    <t>PF4110</t>
  </si>
  <si>
    <t>Lait gélifié chocolat</t>
  </si>
  <si>
    <t>PF4120</t>
  </si>
  <si>
    <t>Lait gélifié café</t>
  </si>
  <si>
    <t>PF4130</t>
  </si>
  <si>
    <t>Lait gélifié caramel</t>
  </si>
  <si>
    <t>PF4140</t>
  </si>
  <si>
    <t>Lait gélifié coco</t>
  </si>
  <si>
    <t>PF4210</t>
  </si>
  <si>
    <t>Oeufs au lait vanille</t>
  </si>
  <si>
    <t>PF4220</t>
  </si>
  <si>
    <t>Oeufs au lait caramel</t>
  </si>
  <si>
    <t>PF4310</t>
  </si>
  <si>
    <t>Caramba</t>
  </si>
  <si>
    <t>PF4320</t>
  </si>
  <si>
    <t>Gâteau de semoule citron</t>
  </si>
  <si>
    <t>PF4330</t>
  </si>
  <si>
    <t>Gâteau de semoule poire</t>
  </si>
  <si>
    <t>PF4340</t>
  </si>
  <si>
    <t>Gâteau de semoule pruneau</t>
  </si>
  <si>
    <t>PF4410</t>
  </si>
  <si>
    <t>Crème chocolat 140G</t>
  </si>
  <si>
    <t>PF4410MDD</t>
  </si>
  <si>
    <t>Creme chocolat 140G MONOPRIX</t>
  </si>
  <si>
    <t>PF4510</t>
  </si>
  <si>
    <t>Riz au lait 140G</t>
  </si>
  <si>
    <t>PF4510MDD</t>
  </si>
  <si>
    <t>Riz au lait 140G MONOPRIX</t>
  </si>
  <si>
    <t>PF4511</t>
  </si>
  <si>
    <t>RIZ AU LAIT CITRON MPX 140g</t>
  </si>
  <si>
    <t>PF5010</t>
  </si>
  <si>
    <t>Crème 190G 45% MG mini</t>
  </si>
  <si>
    <t>PF5020</t>
  </si>
  <si>
    <t>Crème 380G 45% MG mini</t>
  </si>
  <si>
    <t>PF5030</t>
  </si>
  <si>
    <t>Crème seau 5 L 45% MG mini</t>
  </si>
  <si>
    <t>PF5032</t>
  </si>
  <si>
    <t>Crème liquide 35% MG poche 10L</t>
  </si>
  <si>
    <t>L</t>
  </si>
  <si>
    <t>PF5040</t>
  </si>
  <si>
    <t>Lait ENTIER Peupliers 1L</t>
  </si>
  <si>
    <t>PF5041</t>
  </si>
  <si>
    <t>Lait 1/2 ECREME Peupliers 1L</t>
  </si>
  <si>
    <t>PF5045</t>
  </si>
  <si>
    <t>Lait ENTIER poche10L</t>
  </si>
  <si>
    <t>B.I.B</t>
  </si>
  <si>
    <t>PF5046</t>
  </si>
  <si>
    <t>Lait 1/2 ECREME poche 10L</t>
  </si>
  <si>
    <t>PF5050</t>
  </si>
  <si>
    <t>Ffrais CAMPAGNE Peupliers 500g</t>
  </si>
  <si>
    <t>PF5060</t>
  </si>
  <si>
    <t>Ffrais CAMPAGNE Peupliers 5Kg</t>
  </si>
  <si>
    <t>PF5065</t>
  </si>
  <si>
    <t>Ffrais FAISSELLE Peupliers500g</t>
  </si>
  <si>
    <t>PF5070</t>
  </si>
  <si>
    <t>Ffrais LISSE Peupliers 5Kg</t>
  </si>
  <si>
    <t>PF5075</t>
  </si>
  <si>
    <t>Ffrais LISSE Peupliers 500g</t>
  </si>
  <si>
    <t>PF5080</t>
  </si>
  <si>
    <t>Ffrais LISSE SUCRE Peup 500g</t>
  </si>
  <si>
    <t>PF5085</t>
  </si>
  <si>
    <t>Ffrais LISSE SUCRE Peuplier5Kg</t>
  </si>
  <si>
    <t>PF5090</t>
  </si>
  <si>
    <t>Ffrais LISSE VANILLE Peup 5Kg</t>
  </si>
  <si>
    <t>PF5090B</t>
  </si>
  <si>
    <t>Ffrais LISSE VANILLE Peup 500g</t>
  </si>
  <si>
    <t>PF5210</t>
  </si>
  <si>
    <t>SKYR nature 0% 5kg</t>
  </si>
  <si>
    <t>PF5211</t>
  </si>
  <si>
    <t>SKYR NATURE 0% 480G</t>
  </si>
  <si>
    <t>PF6010</t>
  </si>
  <si>
    <t>Seau yaourt abricot</t>
  </si>
  <si>
    <t>KG</t>
  </si>
  <si>
    <t>PF6020</t>
  </si>
  <si>
    <t>Seau yaourt fraise</t>
  </si>
  <si>
    <t>PF6030</t>
  </si>
  <si>
    <t>Seau yaourt vanille</t>
  </si>
  <si>
    <t>PF6040</t>
  </si>
  <si>
    <t>Seau yaourt maigre</t>
  </si>
  <si>
    <t>PF6041</t>
  </si>
  <si>
    <t>Seau yaourt brassé nature</t>
  </si>
  <si>
    <t>PF6042</t>
  </si>
  <si>
    <t>Seau YB Abricot 5kg</t>
  </si>
  <si>
    <t>PF6043</t>
  </si>
  <si>
    <t>Seau YB Fraise 5kg</t>
  </si>
  <si>
    <t>PF6044</t>
  </si>
  <si>
    <t>Seau YB Nature sucré 5kg</t>
  </si>
  <si>
    <t>PF6045</t>
  </si>
  <si>
    <t>Seau YB aromatisé vanille 5kg</t>
  </si>
  <si>
    <t>PF6050</t>
  </si>
  <si>
    <t>Seau YB Myrtille 5kg</t>
  </si>
  <si>
    <t>PF6060</t>
  </si>
  <si>
    <t>Seau Y. Brassé Caramel B.Salé</t>
  </si>
  <si>
    <t>PF7100</t>
  </si>
  <si>
    <t>Yaourt Brassé Nature 500g</t>
  </si>
  <si>
    <t>PF7100MDDGF</t>
  </si>
  <si>
    <t>Yaourt Brassé Nature 500G MDD</t>
  </si>
  <si>
    <t>PF7101</t>
  </si>
  <si>
    <t>Yaourt Brassé Fraise 500G</t>
  </si>
  <si>
    <t>PF7103</t>
  </si>
  <si>
    <t>Yaourt Brassé Framboise 500G</t>
  </si>
  <si>
    <t>PF7104</t>
  </si>
  <si>
    <t>YB Aromatisé Vanille 500G</t>
  </si>
  <si>
    <t>PF7105</t>
  </si>
  <si>
    <t>Yaourt Brassé Citron 500G</t>
  </si>
  <si>
    <t>PF7200</t>
  </si>
  <si>
    <t>Yaourt Brassé Nature 140G</t>
  </si>
  <si>
    <t>PF7201</t>
  </si>
  <si>
    <t>Yaourt Brassé Lit Abricot 140G</t>
  </si>
  <si>
    <t>PF7202</t>
  </si>
  <si>
    <t>Yaourt Brassé Lit Fraise 140G</t>
  </si>
  <si>
    <t>PF7203</t>
  </si>
  <si>
    <t>Yaourt Brassé Lit FDB 140G</t>
  </si>
  <si>
    <t>PF7204</t>
  </si>
  <si>
    <t>Yaourt Brassé Myrtille 140G</t>
  </si>
  <si>
    <t>PF7205</t>
  </si>
  <si>
    <t>Yaourt Brassé Citron 140G</t>
  </si>
  <si>
    <t>PF7206</t>
  </si>
  <si>
    <t>Yaourt Brassé Vanille 140G</t>
  </si>
  <si>
    <t>PF7207</t>
  </si>
  <si>
    <t>Yaourt Brassé Caramel 140G</t>
  </si>
  <si>
    <t>PF7208</t>
  </si>
  <si>
    <t>Yaourt Brassé Noisette 140G</t>
  </si>
  <si>
    <t>PF7209</t>
  </si>
  <si>
    <t>Yaourt Brassé Abricot 140G</t>
  </si>
  <si>
    <t>PF7210</t>
  </si>
  <si>
    <t>Yaourt Brassé Fraise 140G</t>
  </si>
  <si>
    <t>PF7300</t>
  </si>
  <si>
    <t>Yaourt Brassé Nature 140G RGF</t>
  </si>
  <si>
    <t>PF7305</t>
  </si>
  <si>
    <t>Yaourt Brassé Citron 140G RGF</t>
  </si>
  <si>
    <t>PF7306</t>
  </si>
  <si>
    <t>Yaourt Brassé Vanille 140G RGF</t>
  </si>
  <si>
    <t>PF7307</t>
  </si>
  <si>
    <t>Yaourt Brassé Caramel 140G RGF</t>
  </si>
  <si>
    <t>PF7308</t>
  </si>
  <si>
    <t>Yaourt Brassé Nois 140G RGF</t>
  </si>
  <si>
    <t>PF7309</t>
  </si>
  <si>
    <t>Yaourt Brassé Coco 140G RGF</t>
  </si>
  <si>
    <t>PF7400</t>
  </si>
  <si>
    <t>Y.B. Nature 125g BBC</t>
  </si>
  <si>
    <t>PF7401</t>
  </si>
  <si>
    <t>Y.B. Nature Sucré 125g BBC</t>
  </si>
  <si>
    <t>PF7402</t>
  </si>
  <si>
    <t>Y.B. Vanille 125g BBC</t>
  </si>
  <si>
    <t>PF7403</t>
  </si>
  <si>
    <t>Y.B. Fraise 125g BBC</t>
  </si>
  <si>
    <t>PF7404</t>
  </si>
  <si>
    <t>Y.B. Citron 125g BBC</t>
  </si>
  <si>
    <t>PF8004MDD</t>
  </si>
  <si>
    <t>Y. B. MONOPRIX lit  abricot</t>
  </si>
  <si>
    <t>PF8007MDD</t>
  </si>
  <si>
    <t>Y.B. MONOPRIX lit F. Rouge</t>
  </si>
  <si>
    <t>PF8023MDD</t>
  </si>
  <si>
    <t>Y.B. MONOPRIX Myrtille</t>
  </si>
  <si>
    <t>PF8024MDD</t>
  </si>
  <si>
    <t>Y.B. MONOPRIX Citron</t>
  </si>
  <si>
    <t>PF8025MDD</t>
  </si>
  <si>
    <t>Y.B. MONOPRIX Vanille</t>
  </si>
  <si>
    <t>PF8026MDD</t>
  </si>
  <si>
    <t>Y.B. MONOPRIX Caramel BS</t>
  </si>
  <si>
    <t>PF8027MDD</t>
  </si>
  <si>
    <t>Y.B. MONOPRIX Miel</t>
  </si>
  <si>
    <t>PF8028MDD</t>
  </si>
  <si>
    <t>Y.B. MONOPRIX lit Poire</t>
  </si>
  <si>
    <t>PF8029MDD</t>
  </si>
  <si>
    <t>Y.B. MONOPRIX lit Mandarine</t>
  </si>
  <si>
    <t>PF8030MDD</t>
  </si>
  <si>
    <t>Y.B. MONOPRIX Châtaigne</t>
  </si>
  <si>
    <t>PF8031MDD</t>
  </si>
  <si>
    <t>Y.B. MONOPRIX lit Cerise</t>
  </si>
  <si>
    <t>PF8032MDD</t>
  </si>
  <si>
    <t>Y.B. MONOPRIX lit Pêche</t>
  </si>
  <si>
    <t>PF8033MDD</t>
  </si>
  <si>
    <t>Y.B. MONOPRIX Framboise</t>
  </si>
  <si>
    <t>PF8034MDD</t>
  </si>
  <si>
    <t>Y.B. MONOPRIX Fraise Menthe</t>
  </si>
  <si>
    <t>PF8035MDD</t>
  </si>
  <si>
    <t>Y.B. MONOPRIX lit de figue</t>
  </si>
  <si>
    <t>PF8036MDD</t>
  </si>
  <si>
    <t>Y.B. MONOPRIX pommes tatin</t>
  </si>
  <si>
    <t>PF8037MDD</t>
  </si>
  <si>
    <t>Y.B MONOPRIX fraise rhubarbe</t>
  </si>
  <si>
    <t>PF8038MDD</t>
  </si>
  <si>
    <t>Y.B MONOPRIX lt peche verveine</t>
  </si>
  <si>
    <t>PF8040MDD</t>
  </si>
  <si>
    <t>Y.B. MONOPRIX Noisette</t>
  </si>
  <si>
    <t>PF8500MPG</t>
  </si>
  <si>
    <t>YB MPX GT lit Framboise 125g</t>
  </si>
  <si>
    <t>PF8501MPG</t>
  </si>
  <si>
    <t>YB MPX GT lit Figue Miel 125g</t>
  </si>
  <si>
    <t>PF8502MPG</t>
  </si>
  <si>
    <t>YB MPX GT lit Citron M 125g</t>
  </si>
  <si>
    <t>PF8550MPG</t>
  </si>
  <si>
    <t>Y.B. MONOPRIX Vanille 500g</t>
  </si>
  <si>
    <t>PF8551MPG</t>
  </si>
  <si>
    <t>Y.B. MONOPRIX Noisette 500g</t>
  </si>
  <si>
    <t>NEG0050</t>
  </si>
  <si>
    <t>Beurre salé 5% plaquette 250 g</t>
  </si>
  <si>
    <t xml:space="preserve">PLAQUETTE </t>
  </si>
  <si>
    <t>NEG0040</t>
  </si>
  <si>
    <t>Beurre demisel plaquette 250 g</t>
  </si>
  <si>
    <t>NEG0010</t>
  </si>
  <si>
    <t>Beurre doux plaquette 250 g</t>
  </si>
  <si>
    <t>PF7508</t>
  </si>
  <si>
    <t>Gâteau de semoule Poire EXP</t>
  </si>
  <si>
    <t>PF7507</t>
  </si>
  <si>
    <t>Oeufs au lait Vanille EXP</t>
  </si>
  <si>
    <t>PF7506</t>
  </si>
  <si>
    <t>YB Noisette EXP</t>
  </si>
  <si>
    <t>PF7505</t>
  </si>
  <si>
    <t>YB Caramel EXP</t>
  </si>
  <si>
    <t>PF7504</t>
  </si>
  <si>
    <t>YB Vanille EXP</t>
  </si>
  <si>
    <t>PF7503</t>
  </si>
  <si>
    <t>YB Myrtille EXP</t>
  </si>
  <si>
    <t>PF7502</t>
  </si>
  <si>
    <t>YB Fraise EXP</t>
  </si>
  <si>
    <t>PF7501</t>
  </si>
  <si>
    <t>YB Abricot EXP</t>
  </si>
  <si>
    <t>Emballages secondaires</t>
  </si>
  <si>
    <t>Désignation</t>
  </si>
  <si>
    <t>Poids (g)</t>
  </si>
  <si>
    <t>Caractéristiques</t>
  </si>
  <si>
    <t>Dimensions (cm)</t>
  </si>
  <si>
    <t>Couleur</t>
  </si>
  <si>
    <t>Recyclabilité</t>
  </si>
  <si>
    <t>Carton x24</t>
  </si>
  <si>
    <t xml:space="preserve">Carton ondulé </t>
  </si>
  <si>
    <t>36,2x24,5x7,0</t>
  </si>
  <si>
    <t xml:space="preserve">Marron </t>
  </si>
  <si>
    <t>Oui</t>
  </si>
  <si>
    <t>Carton x12</t>
  </si>
  <si>
    <t>23,9x18,2x7,0</t>
  </si>
  <si>
    <t>Carton 6x125G</t>
  </si>
  <si>
    <t>17,7x11,8x7,2</t>
  </si>
  <si>
    <t>Carton x48</t>
  </si>
  <si>
    <t>36,2x24,7x14,0</t>
  </si>
  <si>
    <t>Carton 6x140G</t>
  </si>
  <si>
    <t>18.9*12.7*7.0</t>
  </si>
  <si>
    <r>
      <t xml:space="preserve">Carton Fromage Frais/ Faisselle 4*500g </t>
    </r>
    <r>
      <rPr>
        <i/>
        <sz val="12"/>
        <color theme="1"/>
        <rFont val="Aptos Narrow"/>
        <family val="2"/>
        <scheme val="minor"/>
      </rPr>
      <t xml:space="preserve">) </t>
    </r>
    <r>
      <rPr>
        <i/>
        <sz val="11"/>
        <color theme="1"/>
        <rFont val="Aptos Narrow"/>
        <family val="2"/>
        <scheme val="minor"/>
      </rPr>
      <t xml:space="preserve"> </t>
    </r>
  </si>
  <si>
    <t>Carton ondulé avec impression du logo Ferme Les Peupliers</t>
  </si>
  <si>
    <t>Marron plus logo rouge ou logo noir</t>
  </si>
  <si>
    <t xml:space="preserve">Carton Lait 6*1L                                    </t>
  </si>
  <si>
    <t>Carton ondulé avec impression du logo  Ferme du Beffroi ou Les Peuplies</t>
  </si>
  <si>
    <t>Dim. intérieures : 24,7x16,7x25,8</t>
  </si>
  <si>
    <t>Coiffe de regroupement x2 - Pot Verre</t>
  </si>
  <si>
    <t>PET cristal recyclé</t>
  </si>
  <si>
    <t>long : 12 x larg : 6 x haut : 1,3</t>
  </si>
  <si>
    <t>Translucide cristal</t>
  </si>
  <si>
    <t>Non</t>
  </si>
  <si>
    <t>Coiffe de regroupement x4</t>
  </si>
  <si>
    <t>long : 12,3xlarg : 12,3 x prof : 1,1</t>
  </si>
  <si>
    <t>Sachet x4</t>
  </si>
  <si>
    <t>Polyethylène basse densité</t>
  </si>
  <si>
    <t>larg : 19,0 x haut : 26,2</t>
  </si>
  <si>
    <t>Transparent</t>
  </si>
  <si>
    <t>Emballages tertiaires</t>
  </si>
  <si>
    <r>
      <t xml:space="preserve"> Plateau découpé </t>
    </r>
    <r>
      <rPr>
        <b/>
        <i/>
        <sz val="12"/>
        <color theme="1"/>
        <rFont val="Aptos Narrow"/>
        <family val="2"/>
        <scheme val="minor"/>
      </rPr>
      <t>(48pots)</t>
    </r>
  </si>
  <si>
    <t>?</t>
  </si>
  <si>
    <t xml:space="preserve">Dim. intérieures : 36,2x24,7x14  </t>
  </si>
  <si>
    <t>Marron</t>
  </si>
  <si>
    <r>
      <t xml:space="preserve">Demi-caisse </t>
    </r>
    <r>
      <rPr>
        <b/>
        <i/>
        <sz val="12"/>
        <color theme="1"/>
        <rFont val="Aptos Narrow"/>
        <family val="2"/>
        <scheme val="minor"/>
      </rPr>
      <t>(Caisse amércaine rabats normaux)</t>
    </r>
  </si>
  <si>
    <t>Dim. intérieures : 38,5x30x23,5 Dim. Extérieures : 39,3x30,8x25,1</t>
  </si>
  <si>
    <t>Grande intercalaire</t>
  </si>
  <si>
    <t>24,2x36,0x7,3</t>
  </si>
  <si>
    <t>Petite intercalaire</t>
  </si>
  <si>
    <t>24,2x18,5x7,3</t>
  </si>
  <si>
    <t>Palette perdue</t>
  </si>
  <si>
    <t>Bois</t>
  </si>
  <si>
    <t>74,0x80,0x12,6</t>
  </si>
  <si>
    <t>Marron claire</t>
  </si>
  <si>
    <t>Palette Europe</t>
  </si>
  <si>
    <t>80,0x120,0x15</t>
  </si>
  <si>
    <t>PALETTE  EUROPE 1200x800mm</t>
  </si>
  <si>
    <t>carton x6</t>
  </si>
  <si>
    <t>carton x12</t>
  </si>
  <si>
    <t>carton x24</t>
  </si>
  <si>
    <t xml:space="preserve">carton 48 pots </t>
  </si>
  <si>
    <t xml:space="preserve">caisse américaine </t>
  </si>
  <si>
    <t xml:space="preserve">demi caisse </t>
  </si>
  <si>
    <t xml:space="preserve">Dimensions </t>
  </si>
  <si>
    <t>pot à l'unité</t>
  </si>
  <si>
    <t xml:space="preserve">pot verre 125G </t>
  </si>
  <si>
    <t>pot parrafiné 125G</t>
  </si>
  <si>
    <t>pot verre 140G</t>
  </si>
  <si>
    <t>poids net pot (1uvc) (g)</t>
  </si>
  <si>
    <t>poids brut pot (g)</t>
  </si>
  <si>
    <t>nombre uvc /carton</t>
  </si>
  <si>
    <t>poids net carton (g)</t>
  </si>
  <si>
    <t>poids brut carton (g)</t>
  </si>
  <si>
    <t xml:space="preserve">nb carton/ caisse </t>
  </si>
  <si>
    <t>nb uvc / caisse</t>
  </si>
  <si>
    <t>poids net caisse (kg)</t>
  </si>
  <si>
    <t>poids brut caisse (kg)</t>
  </si>
  <si>
    <t xml:space="preserve">nb colis /couche </t>
  </si>
  <si>
    <t xml:space="preserve">nb couche /palette </t>
  </si>
  <si>
    <t xml:space="preserve">nb colis /palette </t>
  </si>
  <si>
    <t>poids net palette (kg)</t>
  </si>
  <si>
    <t>poids brut palette (kg)</t>
  </si>
  <si>
    <t>pots par lot de 2 avec lunette</t>
  </si>
  <si>
    <t>poids net lot (1uvc=2pots)(g)</t>
  </si>
  <si>
    <t>poids brut lot (1uvc)(g)</t>
  </si>
  <si>
    <t xml:space="preserve">pots par lot de 4 avec lunette </t>
  </si>
  <si>
    <t>poids net lot (g)(1 uvc=4pots)</t>
  </si>
  <si>
    <t>pots parrafinés en sachet x4</t>
  </si>
  <si>
    <t>Pot de crème en verre 190G</t>
  </si>
  <si>
    <t>pot verre 190G</t>
  </si>
  <si>
    <t>pot verre 20 cL</t>
  </si>
  <si>
    <t>poids net pot (g)</t>
  </si>
  <si>
    <t>Pot de crème en verre 380G</t>
  </si>
  <si>
    <t>pot verre 380G</t>
  </si>
  <si>
    <t xml:space="preserve">pot verre 40 cL </t>
  </si>
  <si>
    <t xml:space="preserve">Fromage 500g (Lissé + faisselle) </t>
  </si>
  <si>
    <t>Conditionnement par 4</t>
  </si>
  <si>
    <t>LAIT (BIB)</t>
  </si>
  <si>
    <t>LAIT (Carton de 6)</t>
  </si>
  <si>
    <t>SKYR</t>
  </si>
  <si>
    <t>PF8041MDD</t>
  </si>
  <si>
    <t>Y.B. MONOPRIX Café</t>
  </si>
  <si>
    <t>PF8039MDD</t>
  </si>
  <si>
    <t>Y.B MONOPRIX Banane Cacao</t>
  </si>
  <si>
    <t xml:space="preserve">SEAUX DE 5kg </t>
  </si>
  <si>
    <t>BRASSES 500G</t>
  </si>
  <si>
    <t>1 palette Eu =</t>
  </si>
  <si>
    <t>180 colis *12 =</t>
  </si>
  <si>
    <t>2160 pots</t>
  </si>
  <si>
    <t>1 PAL</t>
  </si>
  <si>
    <t>90colis *24</t>
  </si>
  <si>
    <t xml:space="preserve">1 PAL </t>
  </si>
  <si>
    <t>80 colis * 12</t>
  </si>
  <si>
    <t>80 colis *6</t>
  </si>
  <si>
    <t>10 seaux de FF</t>
  </si>
  <si>
    <t>Poids unitaire brut (KG)</t>
  </si>
  <si>
    <t>PF8042MDD</t>
  </si>
  <si>
    <t>Y.B. MONOPRIX Coco</t>
  </si>
  <si>
    <t>PF8043MDD</t>
  </si>
  <si>
    <t>Y.B MONOPRIX Poire Vanille</t>
  </si>
  <si>
    <t>NEG0041</t>
  </si>
  <si>
    <t>Beurre demisel truffe 125G</t>
  </si>
  <si>
    <t>NEG0042</t>
  </si>
  <si>
    <t>Beurre demisel ail/persil 125G</t>
  </si>
  <si>
    <t>NEG0043</t>
  </si>
  <si>
    <t>Beurre demisel espelette 125G</t>
  </si>
  <si>
    <t>NEG0044</t>
  </si>
  <si>
    <t>Beurre demisel algues 125G</t>
  </si>
  <si>
    <t>PF1051</t>
  </si>
  <si>
    <t>Seau yaourt étuvé nature sucré 5kg</t>
  </si>
  <si>
    <t>Dim. intérieures : 57,0x37,0x23,0   Dim. Extérieures : 57,8x37,8x24,6</t>
  </si>
  <si>
    <t>360 colis*6</t>
  </si>
  <si>
    <t xml:space="preserve">2160 pots </t>
  </si>
  <si>
    <t>3456 pots</t>
  </si>
  <si>
    <t>72 colis scol</t>
  </si>
  <si>
    <t>PF7211</t>
  </si>
  <si>
    <t>Yaourt Brassé Coco 140G</t>
  </si>
  <si>
    <t>PF7310</t>
  </si>
  <si>
    <t>Yaourt Brassé Litchi Rose 140G RGF</t>
  </si>
  <si>
    <t>PF8044MDD</t>
  </si>
  <si>
    <t>Y.B MONOPRIX Nature</t>
  </si>
  <si>
    <t>PF8045MDD</t>
  </si>
  <si>
    <t>Y.B MONOPRIX lit de Litchi</t>
  </si>
  <si>
    <t>PF7212</t>
  </si>
  <si>
    <t>Yaourt Brassé Framboise 140G</t>
  </si>
  <si>
    <t>PF3050</t>
  </si>
  <si>
    <t>Yaourt maigre fraise verre</t>
  </si>
  <si>
    <t>PF3060</t>
  </si>
  <si>
    <t>Yaourt maigre citron 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</si>
</sst>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 vertical="center" wrapText="1"/>
    </xf>
    <xf numFmtId="2" fontId="0" fillId="3" borderId="0" xfId="0" applyNumberFormat="1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9" borderId="0" xfId="0" applyFont="1" applyFill="1"/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6" xfId="0" applyFont="1" applyBorder="1"/>
    <xf numFmtId="0" fontId="9" fillId="0" borderId="4" xfId="0" applyFont="1" applyBorder="1"/>
    <xf numFmtId="0" fontId="9" fillId="0" borderId="1" xfId="0" applyFont="1" applyBorder="1"/>
    <xf numFmtId="0" fontId="9" fillId="0" borderId="9" xfId="0" applyFont="1" applyBorder="1"/>
    <xf numFmtId="0" fontId="2" fillId="9" borderId="4" xfId="0" applyFont="1" applyFill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3" xfId="0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9" borderId="4" xfId="0" applyFill="1" applyBorder="1"/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0" xfId="0" applyFill="1"/>
    <xf numFmtId="164" fontId="0" fillId="0" borderId="1" xfId="0" applyNumberFormat="1" applyBorder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1" borderId="0" xfId="0" applyFill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11" borderId="4" xfId="0" applyFill="1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4" xfId="0" applyFill="1" applyBorder="1"/>
    <xf numFmtId="0" fontId="2" fillId="0" borderId="15" xfId="0" applyFont="1" applyBorder="1" applyAlignment="1">
      <alignment horizontal="center"/>
    </xf>
    <xf numFmtId="0" fontId="2" fillId="0" borderId="4" xfId="0" applyFont="1" applyBorder="1"/>
    <xf numFmtId="164" fontId="0" fillId="0" borderId="6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4" borderId="0" xfId="0" applyFill="1"/>
    <xf numFmtId="0" fontId="1" fillId="4" borderId="0" xfId="0" applyFont="1" applyFill="1"/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1" fillId="18" borderId="0" xfId="0" applyFont="1" applyFill="1" applyAlignment="1">
      <alignment horizontal="right"/>
    </xf>
    <xf numFmtId="165" fontId="0" fillId="0" borderId="0" xfId="0" applyNumberFormat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18" borderId="0" xfId="0" applyFill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10" borderId="0" xfId="0" applyFill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0" fillId="6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3</xdr:col>
      <xdr:colOff>1070610</xdr:colOff>
      <xdr:row>1</xdr:row>
      <xdr:rowOff>1482090</xdr:rowOff>
    </xdr:to>
    <xdr:pic>
      <xdr:nvPicPr>
        <xdr:cNvPr id="2" name="Image 1" descr="P6180439.JPG">
          <a:extLst>
            <a:ext uri="{FF2B5EF4-FFF2-40B4-BE49-F238E27FC236}">
              <a16:creationId xmlns:a16="http://schemas.microsoft.com/office/drawing/2014/main" id="{90AA1B7E-CE91-4B52-8663-4395170D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314825" y="742950"/>
          <a:ext cx="2085975" cy="173355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0</xdr:row>
      <xdr:rowOff>0</xdr:rowOff>
    </xdr:from>
    <xdr:to>
      <xdr:col>6</xdr:col>
      <xdr:colOff>1101090</xdr:colOff>
      <xdr:row>1</xdr:row>
      <xdr:rowOff>1451689</xdr:rowOff>
    </xdr:to>
    <xdr:pic>
      <xdr:nvPicPr>
        <xdr:cNvPr id="3" name="Image 2" descr="P6180440.JPG">
          <a:extLst>
            <a:ext uri="{FF2B5EF4-FFF2-40B4-BE49-F238E27FC236}">
              <a16:creationId xmlns:a16="http://schemas.microsoft.com/office/drawing/2014/main" id="{21A1D82D-1DF4-44D2-8ED3-4C71C064D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10576" y="752474"/>
          <a:ext cx="2028824" cy="171838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9525</xdr:rowOff>
    </xdr:from>
    <xdr:to>
      <xdr:col>8</xdr:col>
      <xdr:colOff>1146810</xdr:colOff>
      <xdr:row>1</xdr:row>
      <xdr:rowOff>1482090</xdr:rowOff>
    </xdr:to>
    <xdr:pic>
      <xdr:nvPicPr>
        <xdr:cNvPr id="4" name="Image 3" descr="P6180441.JPG">
          <a:extLst>
            <a:ext uri="{FF2B5EF4-FFF2-40B4-BE49-F238E27FC236}">
              <a16:creationId xmlns:a16="http://schemas.microsoft.com/office/drawing/2014/main" id="{A8E62437-E277-457D-83ED-89DDA99D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15600" y="771525"/>
          <a:ext cx="2114550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7</xdr:row>
      <xdr:rowOff>9525</xdr:rowOff>
    </xdr:from>
    <xdr:to>
      <xdr:col>0</xdr:col>
      <xdr:colOff>1863090</xdr:colOff>
      <xdr:row>17</xdr:row>
      <xdr:rowOff>148590</xdr:rowOff>
    </xdr:to>
    <xdr:pic>
      <xdr:nvPicPr>
        <xdr:cNvPr id="5" name="Image 4" descr="P6180433.JPG">
          <a:extLst>
            <a:ext uri="{FF2B5EF4-FFF2-40B4-BE49-F238E27FC236}">
              <a16:creationId xmlns:a16="http://schemas.microsoft.com/office/drawing/2014/main" id="{A2431B14-8026-436C-86EB-627683CB4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3695" t="13124" r="12313" b="10554"/>
        <a:stretch>
          <a:fillRect/>
        </a:stretch>
      </xdr:blipFill>
      <xdr:spPr>
        <a:xfrm>
          <a:off x="381000" y="3457575"/>
          <a:ext cx="1482090" cy="2034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114300</xdr:rowOff>
    </xdr:from>
    <xdr:to>
      <xdr:col>0</xdr:col>
      <xdr:colOff>2327107</xdr:colOff>
      <xdr:row>33</xdr:row>
      <xdr:rowOff>156210</xdr:rowOff>
    </xdr:to>
    <xdr:pic>
      <xdr:nvPicPr>
        <xdr:cNvPr id="6" name="Image 5" descr="P6180434.JPG">
          <a:extLst>
            <a:ext uri="{FF2B5EF4-FFF2-40B4-BE49-F238E27FC236}">
              <a16:creationId xmlns:a16="http://schemas.microsoft.com/office/drawing/2014/main" id="{AA3DFB5B-06A9-4FE2-AB7C-8473CC2D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6991350"/>
          <a:ext cx="2327107" cy="15697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40</xdr:row>
      <xdr:rowOff>187929</xdr:rowOff>
    </xdr:from>
    <xdr:to>
      <xdr:col>0</xdr:col>
      <xdr:colOff>2357483</xdr:colOff>
      <xdr:row>50</xdr:row>
      <xdr:rowOff>34289</xdr:rowOff>
    </xdr:to>
    <xdr:pic>
      <xdr:nvPicPr>
        <xdr:cNvPr id="7" name="Image 6" descr="potx4.JPG">
          <a:extLst>
            <a:ext uri="{FF2B5EF4-FFF2-40B4-BE49-F238E27FC236}">
              <a16:creationId xmlns:a16="http://schemas.microsoft.com/office/drawing/2014/main" id="{FEC00FD2-110B-4953-B85A-0C3BD0BB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" y="9926289"/>
          <a:ext cx="2311763" cy="1747550"/>
        </a:xfrm>
        <a:prstGeom prst="rect">
          <a:avLst/>
        </a:prstGeom>
      </xdr:spPr>
    </xdr:pic>
    <xdr:clientData/>
  </xdr:twoCellAnchor>
  <xdr:twoCellAnchor editAs="oneCell">
    <xdr:from>
      <xdr:col>9</xdr:col>
      <xdr:colOff>2</xdr:colOff>
      <xdr:row>0</xdr:row>
      <xdr:rowOff>0</xdr:rowOff>
    </xdr:from>
    <xdr:to>
      <xdr:col>9</xdr:col>
      <xdr:colOff>2052898</xdr:colOff>
      <xdr:row>1</xdr:row>
      <xdr:rowOff>1481511</xdr:rowOff>
    </xdr:to>
    <xdr:pic>
      <xdr:nvPicPr>
        <xdr:cNvPr id="9" name="Image 8" descr="P6180445.JPG">
          <a:extLst>
            <a:ext uri="{FF2B5EF4-FFF2-40B4-BE49-F238E27FC236}">
              <a16:creationId xmlns:a16="http://schemas.microsoft.com/office/drawing/2014/main" id="{D468312B-39D7-4BE3-968A-D0C6AF0E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t="12243" b="8956"/>
        <a:stretch>
          <a:fillRect/>
        </a:stretch>
      </xdr:blipFill>
      <xdr:spPr>
        <a:xfrm>
          <a:off x="12649202" y="762000"/>
          <a:ext cx="2049086" cy="17348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19050</xdr:rowOff>
    </xdr:from>
    <xdr:to>
      <xdr:col>15</xdr:col>
      <xdr:colOff>1108710</xdr:colOff>
      <xdr:row>1</xdr:row>
      <xdr:rowOff>1447800</xdr:rowOff>
    </xdr:to>
    <xdr:pic>
      <xdr:nvPicPr>
        <xdr:cNvPr id="12" name="Image 11" descr="P6190453.JPG">
          <a:extLst>
            <a:ext uri="{FF2B5EF4-FFF2-40B4-BE49-F238E27FC236}">
              <a16:creationId xmlns:a16="http://schemas.microsoft.com/office/drawing/2014/main" id="{FDD8AA1E-A8C0-4E43-9433-4582532CE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716125" y="7810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85723</xdr:colOff>
      <xdr:row>0</xdr:row>
      <xdr:rowOff>38100</xdr:rowOff>
    </xdr:from>
    <xdr:to>
      <xdr:col>17</xdr:col>
      <xdr:colOff>1108708</xdr:colOff>
      <xdr:row>1</xdr:row>
      <xdr:rowOff>1451610</xdr:rowOff>
    </xdr:to>
    <xdr:pic>
      <xdr:nvPicPr>
        <xdr:cNvPr id="13" name="Image 12" descr="P6190447.JPG">
          <a:extLst>
            <a:ext uri="{FF2B5EF4-FFF2-40B4-BE49-F238E27FC236}">
              <a16:creationId xmlns:a16="http://schemas.microsoft.com/office/drawing/2014/main" id="{6B922FE3-EAE9-494D-A803-B7CC4C50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6935448" y="800100"/>
          <a:ext cx="1990725" cy="16859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54</xdr:row>
      <xdr:rowOff>152400</xdr:rowOff>
    </xdr:from>
    <xdr:to>
      <xdr:col>0</xdr:col>
      <xdr:colOff>2404562</xdr:colOff>
      <xdr:row>64</xdr:row>
      <xdr:rowOff>2244</xdr:rowOff>
    </xdr:to>
    <xdr:pic>
      <xdr:nvPicPr>
        <xdr:cNvPr id="14" name="Image 13" descr="P6250465.JPG">
          <a:extLst>
            <a:ext uri="{FF2B5EF4-FFF2-40B4-BE49-F238E27FC236}">
              <a16:creationId xmlns:a16="http://schemas.microsoft.com/office/drawing/2014/main" id="{35D20DB4-C274-4C5B-BF8C-A2C23BCF6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 flipH="1">
          <a:off x="66675" y="12592050"/>
          <a:ext cx="2343602" cy="175484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66</xdr:row>
      <xdr:rowOff>107514</xdr:rowOff>
    </xdr:from>
    <xdr:to>
      <xdr:col>0</xdr:col>
      <xdr:colOff>2053590</xdr:colOff>
      <xdr:row>75</xdr:row>
      <xdr:rowOff>80869</xdr:rowOff>
    </xdr:to>
    <xdr:pic>
      <xdr:nvPicPr>
        <xdr:cNvPr id="15" name="Image 14" descr="P6250463.JPG">
          <a:extLst>
            <a:ext uri="{FF2B5EF4-FFF2-40B4-BE49-F238E27FC236}">
              <a16:creationId xmlns:a16="http://schemas.microsoft.com/office/drawing/2014/main" id="{2EDFDF39-1F38-4694-B741-9931FD4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16226" t="10241" r="19847" b="9815"/>
        <a:stretch>
          <a:fillRect/>
        </a:stretch>
      </xdr:blipFill>
      <xdr:spPr>
        <a:xfrm>
          <a:off x="228600" y="14795064"/>
          <a:ext cx="1813560" cy="169357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552449</xdr:colOff>
      <xdr:row>77</xdr:row>
      <xdr:rowOff>114163</xdr:rowOff>
    </xdr:from>
    <xdr:to>
      <xdr:col>0</xdr:col>
      <xdr:colOff>1833504</xdr:colOff>
      <xdr:row>85</xdr:row>
      <xdr:rowOff>148590</xdr:rowOff>
    </xdr:to>
    <xdr:pic>
      <xdr:nvPicPr>
        <xdr:cNvPr id="16" name="Image 15" descr="P6250461.JPG">
          <a:extLst>
            <a:ext uri="{FF2B5EF4-FFF2-40B4-BE49-F238E27FC236}">
              <a16:creationId xmlns:a16="http://schemas.microsoft.com/office/drawing/2014/main" id="{D1D5F611-02FA-4DA1-9DCC-26A11FA3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17091" r="20364"/>
        <a:stretch>
          <a:fillRect/>
        </a:stretch>
      </xdr:blipFill>
      <xdr:spPr>
        <a:xfrm>
          <a:off x="552449" y="16935313"/>
          <a:ext cx="1288675" cy="1543187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1143000</xdr:colOff>
      <xdr:row>0</xdr:row>
      <xdr:rowOff>0</xdr:rowOff>
    </xdr:from>
    <xdr:to>
      <xdr:col>5</xdr:col>
      <xdr:colOff>41950</xdr:colOff>
      <xdr:row>1</xdr:row>
      <xdr:rowOff>1482090</xdr:rowOff>
    </xdr:to>
    <xdr:pic>
      <xdr:nvPicPr>
        <xdr:cNvPr id="23" name="Image 22" descr="P6180443.JPG">
          <a:extLst>
            <a:ext uri="{FF2B5EF4-FFF2-40B4-BE49-F238E27FC236}">
              <a16:creationId xmlns:a16="http://schemas.microsoft.com/office/drawing/2014/main" id="{D8AAA14E-9B0E-4CAB-BF28-E314BD80E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467475" y="733424"/>
          <a:ext cx="1880275" cy="1743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59" totalsRowShown="0" headerRowDxfId="6">
  <autoFilter ref="A1:H159" xr:uid="{00000000-0009-0000-0100-000001000000}"/>
  <tableColumns count="8">
    <tableColumn id="1" xr3:uid="{00000000-0010-0000-0000-000001000000}" name="N°"/>
    <tableColumn id="3" xr3:uid="{00000000-0010-0000-0000-000003000000}" name="Description"/>
    <tableColumn id="10" xr3:uid="{00000000-0010-0000-0000-00000A000000}" name="Unité de base" dataDxfId="5"/>
    <tableColumn id="2" xr3:uid="{5A299B1B-9326-4D38-80A9-6EAED18EEBFE}" name="Poids unitaire brut (g)" dataDxfId="4"/>
    <tableColumn id="6" xr3:uid="{0F25AEA4-9132-42FF-A5FD-667BF7A0BCD2}" name="Poids unitaire brut (KG)" dataDxfId="3">
      <calculatedColumnFormula>Table1[[#This Row],[Poids unitaire brut (g)]]/1000</calculatedColumnFormula>
    </tableColumn>
    <tableColumn id="4" xr3:uid="{6D1345BA-F452-4EBC-BCAD-0A85E32C39A4}" name="Poids x2 brut " dataDxfId="2"/>
    <tableColumn id="5" xr3:uid="{2662B825-A6B0-4941-AA77-A8CE84698FFC}" name="Poids x4 brut (coiffe)" dataDxfId="1"/>
    <tableColumn id="20" xr3:uid="{00000000-0010-0000-0000-000014000000}" name="Poids x4 brut (sachet plastiqu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workbookViewId="0">
      <pane ySplit="1" topLeftCell="A17" activePane="bottomLeft" state="frozen"/>
      <selection pane="bottomLeft" activeCell="D30" sqref="D30"/>
    </sheetView>
  </sheetViews>
  <sheetFormatPr baseColWidth="10" defaultColWidth="11.42578125" defaultRowHeight="15" x14ac:dyDescent="0.25"/>
  <cols>
    <col min="1" max="1" width="15.140625" customWidth="1"/>
    <col min="2" max="2" width="33.28515625" customWidth="1"/>
    <col min="3" max="3" width="14.85546875" style="3" bestFit="1" customWidth="1"/>
    <col min="4" max="8" width="14.42578125" style="3" customWidth="1"/>
  </cols>
  <sheetData>
    <row r="1" spans="1:8" ht="50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411</v>
      </c>
      <c r="F1" s="5" t="s">
        <v>4</v>
      </c>
      <c r="G1" s="5" t="s">
        <v>5</v>
      </c>
      <c r="H1" s="5" t="s">
        <v>6</v>
      </c>
    </row>
    <row r="2" spans="1:8" x14ac:dyDescent="0.25">
      <c r="A2" s="1" t="s">
        <v>7</v>
      </c>
      <c r="B2" s="1" t="s">
        <v>8</v>
      </c>
      <c r="C2" s="2" t="s">
        <v>9</v>
      </c>
      <c r="D2" s="4">
        <f>73.5+125</f>
        <v>198.5</v>
      </c>
      <c r="E2" s="69">
        <f>Table1[[#This Row],[Poids unitaire brut (g)]]/1000</f>
        <v>0.19850000000000001</v>
      </c>
      <c r="F2" s="4">
        <f>198.5*2+3</f>
        <v>400</v>
      </c>
      <c r="G2" s="4">
        <f t="shared" ref="G2" si="0">73.5*4+5.5</f>
        <v>299.5</v>
      </c>
      <c r="H2" s="6"/>
    </row>
    <row r="3" spans="1:8" x14ac:dyDescent="0.25">
      <c r="A3" s="1" t="s">
        <v>10</v>
      </c>
      <c r="B3" s="1" t="s">
        <v>11</v>
      </c>
      <c r="C3" s="2" t="s">
        <v>9</v>
      </c>
      <c r="D3" s="4">
        <v>198.5</v>
      </c>
      <c r="E3" s="69">
        <f>Table1[[#This Row],[Poids unitaire brut (g)]]/1000</f>
        <v>0.19850000000000001</v>
      </c>
      <c r="F3" s="4">
        <f>198.5*2+3</f>
        <v>400</v>
      </c>
      <c r="G3" s="4">
        <f>198.5*4+5.5</f>
        <v>799.5</v>
      </c>
      <c r="H3" s="6"/>
    </row>
    <row r="4" spans="1:8" x14ac:dyDescent="0.25">
      <c r="A4" s="1" t="s">
        <v>12</v>
      </c>
      <c r="B4" s="1" t="s">
        <v>13</v>
      </c>
      <c r="C4" s="2" t="s">
        <v>9</v>
      </c>
      <c r="D4" s="4">
        <f>9.8+0.5+125</f>
        <v>135.30000000000001</v>
      </c>
      <c r="E4" s="69">
        <f>Table1[[#This Row],[Poids unitaire brut (g)]]/1000</f>
        <v>0.1353</v>
      </c>
      <c r="F4" s="4">
        <f>135.3*2+3</f>
        <v>273.60000000000002</v>
      </c>
      <c r="G4" s="3">
        <f>135.3*4+5.5</f>
        <v>546.70000000000005</v>
      </c>
      <c r="H4" s="3">
        <f>135.3*4+2.5</f>
        <v>543.70000000000005</v>
      </c>
    </row>
    <row r="5" spans="1:8" x14ac:dyDescent="0.25">
      <c r="A5" s="1" t="s">
        <v>14</v>
      </c>
      <c r="B5" s="1" t="s">
        <v>15</v>
      </c>
      <c r="C5" s="2" t="s">
        <v>9</v>
      </c>
      <c r="D5" s="4">
        <f t="shared" ref="D5:D6" si="1">9.8+0.5+125</f>
        <v>135.30000000000001</v>
      </c>
      <c r="E5" s="69">
        <f>Table1[[#This Row],[Poids unitaire brut (g)]]/1000</f>
        <v>0.1353</v>
      </c>
      <c r="F5" s="4">
        <f t="shared" ref="F5:F6" si="2">135.3*2+3</f>
        <v>273.60000000000002</v>
      </c>
      <c r="G5" s="3">
        <f t="shared" ref="G5:G6" si="3">135.3*4+5.5</f>
        <v>546.70000000000005</v>
      </c>
      <c r="H5" s="3">
        <f t="shared" ref="H5:H6" si="4">135.3*4+2.5</f>
        <v>543.70000000000005</v>
      </c>
    </row>
    <row r="6" spans="1:8" x14ac:dyDescent="0.25">
      <c r="A6" s="1" t="s">
        <v>16</v>
      </c>
      <c r="B6" s="1" t="s">
        <v>17</v>
      </c>
      <c r="C6" s="2" t="s">
        <v>9</v>
      </c>
      <c r="D6" s="4">
        <f t="shared" si="1"/>
        <v>135.30000000000001</v>
      </c>
      <c r="E6" s="69">
        <f>Table1[[#This Row],[Poids unitaire brut (g)]]/1000</f>
        <v>0.1353</v>
      </c>
      <c r="F6" s="4">
        <f t="shared" si="2"/>
        <v>273.60000000000002</v>
      </c>
      <c r="G6" s="3">
        <f t="shared" si="3"/>
        <v>546.70000000000005</v>
      </c>
      <c r="H6" s="3">
        <f t="shared" si="4"/>
        <v>543.70000000000005</v>
      </c>
    </row>
    <row r="7" spans="1:8" x14ac:dyDescent="0.25">
      <c r="A7" s="1" t="s">
        <v>18</v>
      </c>
      <c r="B7" s="1" t="s">
        <v>19</v>
      </c>
      <c r="C7" s="2" t="s">
        <v>20</v>
      </c>
      <c r="D7" s="4">
        <f>151.8+35+5000</f>
        <v>5186.8</v>
      </c>
      <c r="E7" s="69">
        <f>Table1[[#This Row],[Poids unitaire brut (g)]]/1000</f>
        <v>5.1867999999999999</v>
      </c>
      <c r="F7" s="6"/>
      <c r="G7" s="6" t="s">
        <v>21</v>
      </c>
      <c r="H7" s="6"/>
    </row>
    <row r="8" spans="1:8" x14ac:dyDescent="0.25">
      <c r="A8" t="s">
        <v>424</v>
      </c>
      <c r="B8" t="s">
        <v>425</v>
      </c>
      <c r="C8" s="2" t="s">
        <v>20</v>
      </c>
      <c r="D8" s="4">
        <f>151.8+35+5000</f>
        <v>5186.8</v>
      </c>
      <c r="E8" s="69">
        <f>Table1[[#This Row],[Poids unitaire brut (g)]]/1000</f>
        <v>5.1867999999999999</v>
      </c>
      <c r="F8" s="6"/>
      <c r="G8" s="6"/>
      <c r="H8" s="6"/>
    </row>
    <row r="9" spans="1:8" x14ac:dyDescent="0.25">
      <c r="A9" s="1" t="s">
        <v>22</v>
      </c>
      <c r="B9" s="1" t="s">
        <v>23</v>
      </c>
      <c r="C9" s="2" t="s">
        <v>9</v>
      </c>
      <c r="D9" s="4">
        <v>131</v>
      </c>
      <c r="E9" s="69">
        <f>Table1[[#This Row],[Poids unitaire brut (g)]]/1000</f>
        <v>0.13100000000000001</v>
      </c>
      <c r="F9" s="6"/>
      <c r="G9" s="6" t="s">
        <v>21</v>
      </c>
      <c r="H9" s="6"/>
    </row>
    <row r="10" spans="1:8" x14ac:dyDescent="0.25">
      <c r="A10" s="1" t="s">
        <v>24</v>
      </c>
      <c r="B10" s="1" t="s">
        <v>25</v>
      </c>
      <c r="C10" s="2" t="s">
        <v>9</v>
      </c>
      <c r="D10" s="4">
        <f>500+20.2</f>
        <v>520.20000000000005</v>
      </c>
      <c r="E10" s="69">
        <f>Table1[[#This Row],[Poids unitaire brut (g)]]/1000</f>
        <v>0.5202</v>
      </c>
      <c r="F10" s="6"/>
      <c r="G10" s="6" t="s">
        <v>21</v>
      </c>
      <c r="H10" s="6"/>
    </row>
    <row r="11" spans="1:8" x14ac:dyDescent="0.25">
      <c r="A11" s="1" t="s">
        <v>26</v>
      </c>
      <c r="B11" s="1" t="s">
        <v>27</v>
      </c>
      <c r="C11" s="2" t="s">
        <v>9</v>
      </c>
      <c r="D11" s="4">
        <v>198.5</v>
      </c>
      <c r="E11" s="69">
        <f>Table1[[#This Row],[Poids unitaire brut (g)]]/1000</f>
        <v>0.19850000000000001</v>
      </c>
      <c r="F11" s="4">
        <f t="shared" ref="F11:F12" si="5">198.5*2+3</f>
        <v>400</v>
      </c>
      <c r="G11" s="4">
        <f t="shared" ref="G11:G12" si="6">198.5*4+5.5</f>
        <v>799.5</v>
      </c>
      <c r="H11" s="6"/>
    </row>
    <row r="12" spans="1:8" x14ac:dyDescent="0.25">
      <c r="A12" s="1" t="s">
        <v>28</v>
      </c>
      <c r="B12" s="1" t="s">
        <v>29</v>
      </c>
      <c r="C12" s="2" t="s">
        <v>9</v>
      </c>
      <c r="D12" s="4">
        <v>198.5</v>
      </c>
      <c r="E12" s="69">
        <f>Table1[[#This Row],[Poids unitaire brut (g)]]/1000</f>
        <v>0.19850000000000001</v>
      </c>
      <c r="F12" s="4">
        <f t="shared" si="5"/>
        <v>400</v>
      </c>
      <c r="G12" s="4">
        <f t="shared" si="6"/>
        <v>799.5</v>
      </c>
      <c r="H12" s="6"/>
    </row>
    <row r="13" spans="1:8" x14ac:dyDescent="0.25">
      <c r="A13" s="1" t="s">
        <v>30</v>
      </c>
      <c r="B13" s="1" t="s">
        <v>31</v>
      </c>
      <c r="C13" s="2" t="s">
        <v>9</v>
      </c>
      <c r="D13" s="4">
        <f>500+20.2</f>
        <v>520.20000000000005</v>
      </c>
      <c r="E13" s="69">
        <f>Table1[[#This Row],[Poids unitaire brut (g)]]/1000</f>
        <v>0.5202</v>
      </c>
      <c r="F13" s="6"/>
      <c r="G13" s="6" t="s">
        <v>21</v>
      </c>
      <c r="H13" s="6"/>
    </row>
    <row r="14" spans="1:8" x14ac:dyDescent="0.25">
      <c r="A14" s="1" t="s">
        <v>32</v>
      </c>
      <c r="B14" s="1" t="s">
        <v>33</v>
      </c>
      <c r="C14" s="2" t="s">
        <v>9</v>
      </c>
      <c r="D14" s="4">
        <v>198.5</v>
      </c>
      <c r="E14" s="69">
        <f>Table1[[#This Row],[Poids unitaire brut (g)]]/1000</f>
        <v>0.19850000000000001</v>
      </c>
      <c r="F14" s="4">
        <f t="shared" ref="F14:F36" si="7">198.5*2+3</f>
        <v>400</v>
      </c>
      <c r="G14" s="4">
        <f t="shared" ref="G14:G36" si="8">198.5*4+5.5</f>
        <v>799.5</v>
      </c>
      <c r="H14" s="6"/>
    </row>
    <row r="15" spans="1:8" x14ac:dyDescent="0.25">
      <c r="A15" s="1" t="s">
        <v>34</v>
      </c>
      <c r="B15" s="1" t="s">
        <v>35</v>
      </c>
      <c r="C15" s="2" t="s">
        <v>9</v>
      </c>
      <c r="D15" s="4">
        <v>198.5</v>
      </c>
      <c r="E15" s="69">
        <f>Table1[[#This Row],[Poids unitaire brut (g)]]/1000</f>
        <v>0.19850000000000001</v>
      </c>
      <c r="F15" s="4">
        <f t="shared" si="7"/>
        <v>400</v>
      </c>
      <c r="G15" s="4">
        <f t="shared" si="8"/>
        <v>799.5</v>
      </c>
      <c r="H15" s="6"/>
    </row>
    <row r="16" spans="1:8" x14ac:dyDescent="0.25">
      <c r="A16" s="1" t="s">
        <v>36</v>
      </c>
      <c r="B16" s="1" t="s">
        <v>37</v>
      </c>
      <c r="C16" s="2" t="s">
        <v>9</v>
      </c>
      <c r="D16" s="4">
        <v>198.5</v>
      </c>
      <c r="E16" s="69">
        <f>Table1[[#This Row],[Poids unitaire brut (g)]]/1000</f>
        <v>0.19850000000000001</v>
      </c>
      <c r="F16" s="4">
        <f t="shared" si="7"/>
        <v>400</v>
      </c>
      <c r="G16" s="4">
        <f t="shared" si="8"/>
        <v>799.5</v>
      </c>
      <c r="H16" s="6"/>
    </row>
    <row r="17" spans="1:8" x14ac:dyDescent="0.25">
      <c r="A17" s="1" t="s">
        <v>38</v>
      </c>
      <c r="B17" s="1" t="s">
        <v>39</v>
      </c>
      <c r="C17" s="2" t="s">
        <v>9</v>
      </c>
      <c r="D17" s="4">
        <v>198.5</v>
      </c>
      <c r="E17" s="69">
        <f>Table1[[#This Row],[Poids unitaire brut (g)]]/1000</f>
        <v>0.19850000000000001</v>
      </c>
      <c r="F17" s="4">
        <f t="shared" si="7"/>
        <v>400</v>
      </c>
      <c r="G17" s="4">
        <f t="shared" si="8"/>
        <v>799.5</v>
      </c>
      <c r="H17" s="6"/>
    </row>
    <row r="18" spans="1:8" x14ac:dyDescent="0.25">
      <c r="A18" s="1" t="s">
        <v>40</v>
      </c>
      <c r="B18" s="1" t="s">
        <v>41</v>
      </c>
      <c r="C18" s="2" t="s">
        <v>9</v>
      </c>
      <c r="D18" s="4">
        <v>198.5</v>
      </c>
      <c r="E18" s="69">
        <f>Table1[[#This Row],[Poids unitaire brut (g)]]/1000</f>
        <v>0.19850000000000001</v>
      </c>
      <c r="F18" s="4">
        <f t="shared" si="7"/>
        <v>400</v>
      </c>
      <c r="G18" s="4">
        <f t="shared" si="8"/>
        <v>799.5</v>
      </c>
      <c r="H18" s="6"/>
    </row>
    <row r="19" spans="1:8" x14ac:dyDescent="0.25">
      <c r="A19" s="1" t="s">
        <v>42</v>
      </c>
      <c r="B19" s="1" t="s">
        <v>43</v>
      </c>
      <c r="C19" s="2" t="s">
        <v>9</v>
      </c>
      <c r="D19" s="4">
        <v>198.5</v>
      </c>
      <c r="E19" s="69">
        <f>Table1[[#This Row],[Poids unitaire brut (g)]]/1000</f>
        <v>0.19850000000000001</v>
      </c>
      <c r="F19" s="4">
        <f t="shared" si="7"/>
        <v>400</v>
      </c>
      <c r="G19" s="4">
        <f t="shared" si="8"/>
        <v>799.5</v>
      </c>
      <c r="H19" s="6"/>
    </row>
    <row r="20" spans="1:8" x14ac:dyDescent="0.25">
      <c r="A20" s="1" t="s">
        <v>44</v>
      </c>
      <c r="B20" s="1" t="s">
        <v>45</v>
      </c>
      <c r="C20" s="2" t="s">
        <v>9</v>
      </c>
      <c r="D20" s="4">
        <v>198.5</v>
      </c>
      <c r="E20" s="69">
        <f>Table1[[#This Row],[Poids unitaire brut (g)]]/1000</f>
        <v>0.19850000000000001</v>
      </c>
      <c r="F20" s="4">
        <f t="shared" si="7"/>
        <v>400</v>
      </c>
      <c r="G20" s="4">
        <f t="shared" si="8"/>
        <v>799.5</v>
      </c>
      <c r="H20" s="6"/>
    </row>
    <row r="21" spans="1:8" x14ac:dyDescent="0.25">
      <c r="A21" s="1" t="s">
        <v>46</v>
      </c>
      <c r="B21" s="1" t="s">
        <v>47</v>
      </c>
      <c r="C21" s="2" t="s">
        <v>9</v>
      </c>
      <c r="D21" s="4">
        <v>198.5</v>
      </c>
      <c r="E21" s="69">
        <f>Table1[[#This Row],[Poids unitaire brut (g)]]/1000</f>
        <v>0.19850000000000001</v>
      </c>
      <c r="F21" s="4">
        <f t="shared" si="7"/>
        <v>400</v>
      </c>
      <c r="G21" s="4">
        <f t="shared" si="8"/>
        <v>799.5</v>
      </c>
      <c r="H21" s="6"/>
    </row>
    <row r="22" spans="1:8" x14ac:dyDescent="0.25">
      <c r="A22" s="1" t="s">
        <v>48</v>
      </c>
      <c r="B22" s="1" t="s">
        <v>49</v>
      </c>
      <c r="C22" s="2" t="s">
        <v>9</v>
      </c>
      <c r="D22" s="4">
        <v>198.5</v>
      </c>
      <c r="E22" s="69">
        <f>Table1[[#This Row],[Poids unitaire brut (g)]]/1000</f>
        <v>0.19850000000000001</v>
      </c>
      <c r="F22" s="4">
        <f t="shared" si="7"/>
        <v>400</v>
      </c>
      <c r="G22" s="4">
        <f t="shared" si="8"/>
        <v>799.5</v>
      </c>
      <c r="H22" s="6"/>
    </row>
    <row r="23" spans="1:8" x14ac:dyDescent="0.25">
      <c r="A23" s="1" t="s">
        <v>50</v>
      </c>
      <c r="B23" s="1" t="s">
        <v>51</v>
      </c>
      <c r="C23" s="2" t="s">
        <v>9</v>
      </c>
      <c r="D23" s="4">
        <v>198.5</v>
      </c>
      <c r="E23" s="69">
        <f>Table1[[#This Row],[Poids unitaire brut (g)]]/1000</f>
        <v>0.19850000000000001</v>
      </c>
      <c r="F23" s="4">
        <f t="shared" si="7"/>
        <v>400</v>
      </c>
      <c r="G23" s="4">
        <f t="shared" si="8"/>
        <v>799.5</v>
      </c>
      <c r="H23" s="6"/>
    </row>
    <row r="24" spans="1:8" x14ac:dyDescent="0.25">
      <c r="A24" s="1" t="s">
        <v>52</v>
      </c>
      <c r="B24" s="1" t="s">
        <v>53</v>
      </c>
      <c r="C24" s="2" t="s">
        <v>9</v>
      </c>
      <c r="D24" s="4">
        <v>198.5</v>
      </c>
      <c r="E24" s="69">
        <f>Table1[[#This Row],[Poids unitaire brut (g)]]/1000</f>
        <v>0.19850000000000001</v>
      </c>
      <c r="F24" s="4">
        <f t="shared" si="7"/>
        <v>400</v>
      </c>
      <c r="G24" s="4">
        <f t="shared" si="8"/>
        <v>799.5</v>
      </c>
      <c r="H24" s="6"/>
    </row>
    <row r="25" spans="1:8" x14ac:dyDescent="0.25">
      <c r="A25" s="1" t="s">
        <v>54</v>
      </c>
      <c r="B25" s="1" t="s">
        <v>55</v>
      </c>
      <c r="C25" s="2" t="s">
        <v>9</v>
      </c>
      <c r="D25" s="4">
        <v>198.5</v>
      </c>
      <c r="E25" s="69">
        <f>Table1[[#This Row],[Poids unitaire brut (g)]]/1000</f>
        <v>0.19850000000000001</v>
      </c>
      <c r="F25" s="4">
        <f t="shared" si="7"/>
        <v>400</v>
      </c>
      <c r="G25" s="4">
        <f t="shared" si="8"/>
        <v>799.5</v>
      </c>
      <c r="H25" s="6"/>
    </row>
    <row r="26" spans="1:8" x14ac:dyDescent="0.25">
      <c r="A26" s="1" t="s">
        <v>56</v>
      </c>
      <c r="B26" s="1" t="s">
        <v>57</v>
      </c>
      <c r="C26" s="2" t="s">
        <v>9</v>
      </c>
      <c r="D26" s="4">
        <v>198.5</v>
      </c>
      <c r="E26" s="69">
        <f>Table1[[#This Row],[Poids unitaire brut (g)]]/1000</f>
        <v>0.19850000000000001</v>
      </c>
      <c r="F26" s="4">
        <f t="shared" si="7"/>
        <v>400</v>
      </c>
      <c r="G26" s="4">
        <f t="shared" si="8"/>
        <v>799.5</v>
      </c>
      <c r="H26" s="6"/>
    </row>
    <row r="27" spans="1:8" x14ac:dyDescent="0.25">
      <c r="A27" s="1" t="s">
        <v>58</v>
      </c>
      <c r="B27" s="1" t="s">
        <v>59</v>
      </c>
      <c r="C27" s="2" t="s">
        <v>9</v>
      </c>
      <c r="D27" s="4">
        <v>198.5</v>
      </c>
      <c r="E27" s="69">
        <f>Table1[[#This Row],[Poids unitaire brut (g)]]/1000</f>
        <v>0.19850000000000001</v>
      </c>
      <c r="F27" s="4">
        <f t="shared" si="7"/>
        <v>400</v>
      </c>
      <c r="G27" s="4">
        <f t="shared" si="8"/>
        <v>799.5</v>
      </c>
      <c r="H27" s="6"/>
    </row>
    <row r="28" spans="1:8" x14ac:dyDescent="0.25">
      <c r="A28" s="1" t="s">
        <v>60</v>
      </c>
      <c r="B28" s="1" t="s">
        <v>61</v>
      </c>
      <c r="C28" s="2" t="s">
        <v>9</v>
      </c>
      <c r="D28" s="4">
        <v>198.5</v>
      </c>
      <c r="E28" s="69">
        <f>Table1[[#This Row],[Poids unitaire brut (g)]]/1000</f>
        <v>0.19850000000000001</v>
      </c>
      <c r="F28" s="4">
        <f t="shared" si="7"/>
        <v>400</v>
      </c>
      <c r="G28" s="4">
        <f t="shared" si="8"/>
        <v>799.5</v>
      </c>
      <c r="H28" s="6"/>
    </row>
    <row r="29" spans="1:8" x14ac:dyDescent="0.25">
      <c r="A29" s="1" t="s">
        <v>62</v>
      </c>
      <c r="B29" s="1" t="s">
        <v>63</v>
      </c>
      <c r="C29" s="2" t="s">
        <v>9</v>
      </c>
      <c r="D29" s="4">
        <v>198.5</v>
      </c>
      <c r="E29" s="69">
        <f>Table1[[#This Row],[Poids unitaire brut (g)]]/1000</f>
        <v>0.19850000000000001</v>
      </c>
      <c r="F29" s="4">
        <f t="shared" si="7"/>
        <v>400</v>
      </c>
      <c r="G29" s="4">
        <f t="shared" si="8"/>
        <v>799.5</v>
      </c>
      <c r="H29" s="6"/>
    </row>
    <row r="30" spans="1:8" x14ac:dyDescent="0.25">
      <c r="A30" s="1" t="s">
        <v>64</v>
      </c>
      <c r="B30" s="1" t="s">
        <v>65</v>
      </c>
      <c r="C30" s="2" t="s">
        <v>9</v>
      </c>
      <c r="D30" s="4">
        <v>198.5</v>
      </c>
      <c r="E30" s="69">
        <f>Table1[[#This Row],[Poids unitaire brut (g)]]/1000</f>
        <v>0.19850000000000001</v>
      </c>
      <c r="F30" s="4">
        <f t="shared" si="7"/>
        <v>400</v>
      </c>
      <c r="G30" s="4">
        <f t="shared" si="8"/>
        <v>799.5</v>
      </c>
      <c r="H30" s="6"/>
    </row>
    <row r="31" spans="1:8" x14ac:dyDescent="0.25">
      <c r="A31" s="1" t="s">
        <v>66</v>
      </c>
      <c r="B31" s="1" t="s">
        <v>67</v>
      </c>
      <c r="C31" s="2" t="s">
        <v>9</v>
      </c>
      <c r="D31" s="4">
        <v>198.5</v>
      </c>
      <c r="E31" s="69">
        <f>Table1[[#This Row],[Poids unitaire brut (g)]]/1000</f>
        <v>0.19850000000000001</v>
      </c>
      <c r="F31" s="4">
        <f t="shared" si="7"/>
        <v>400</v>
      </c>
      <c r="G31" s="4">
        <f t="shared" si="8"/>
        <v>799.5</v>
      </c>
      <c r="H31" s="6"/>
    </row>
    <row r="32" spans="1:8" x14ac:dyDescent="0.25">
      <c r="A32" s="1" t="s">
        <v>68</v>
      </c>
      <c r="B32" s="1" t="s">
        <v>69</v>
      </c>
      <c r="C32" s="2" t="s">
        <v>9</v>
      </c>
      <c r="D32" s="4">
        <v>198.5</v>
      </c>
      <c r="E32" s="69">
        <f>Table1[[#This Row],[Poids unitaire brut (g)]]/1000</f>
        <v>0.19850000000000001</v>
      </c>
      <c r="F32" s="4">
        <f t="shared" si="7"/>
        <v>400</v>
      </c>
      <c r="G32" s="4">
        <f t="shared" si="8"/>
        <v>799.5</v>
      </c>
      <c r="H32" s="6"/>
    </row>
    <row r="33" spans="1:8" x14ac:dyDescent="0.25">
      <c r="A33" t="s">
        <v>441</v>
      </c>
      <c r="B33" t="s">
        <v>442</v>
      </c>
      <c r="C33" s="2" t="s">
        <v>9</v>
      </c>
      <c r="D33" s="4">
        <v>198.5</v>
      </c>
      <c r="E33" s="69">
        <f>Table1[[#This Row],[Poids unitaire brut (g)]]/1000</f>
        <v>0.19850000000000001</v>
      </c>
      <c r="F33" s="4">
        <f t="shared" si="7"/>
        <v>400</v>
      </c>
      <c r="G33" s="4">
        <f t="shared" si="8"/>
        <v>799.5</v>
      </c>
      <c r="H33" s="6"/>
    </row>
    <row r="34" spans="1:8" x14ac:dyDescent="0.25">
      <c r="A34" t="s">
        <v>443</v>
      </c>
      <c r="B34" t="s">
        <v>444</v>
      </c>
      <c r="C34" s="2" t="s">
        <v>9</v>
      </c>
      <c r="D34" s="4">
        <v>198.5</v>
      </c>
      <c r="E34" s="69">
        <f>Table1[[#This Row],[Poids unitaire brut (g)]]/1000</f>
        <v>0.19850000000000001</v>
      </c>
      <c r="F34" s="4">
        <f t="shared" si="7"/>
        <v>400</v>
      </c>
      <c r="G34" s="4">
        <f t="shared" si="8"/>
        <v>799.5</v>
      </c>
      <c r="H34" s="6"/>
    </row>
    <row r="35" spans="1:8" x14ac:dyDescent="0.25">
      <c r="A35" s="1" t="s">
        <v>70</v>
      </c>
      <c r="B35" s="1" t="s">
        <v>71</v>
      </c>
      <c r="C35" s="2" t="s">
        <v>9</v>
      </c>
      <c r="D35" s="4">
        <v>198.5</v>
      </c>
      <c r="E35" s="69">
        <f>Table1[[#This Row],[Poids unitaire brut (g)]]/1000</f>
        <v>0.19850000000000001</v>
      </c>
      <c r="F35" s="4">
        <f t="shared" si="7"/>
        <v>400</v>
      </c>
      <c r="G35" s="4">
        <f t="shared" si="8"/>
        <v>799.5</v>
      </c>
      <c r="H35" s="6"/>
    </row>
    <row r="36" spans="1:8" x14ac:dyDescent="0.25">
      <c r="A36" s="1" t="s">
        <v>72</v>
      </c>
      <c r="B36" s="1" t="s">
        <v>73</v>
      </c>
      <c r="C36" s="2" t="s">
        <v>9</v>
      </c>
      <c r="D36" s="4">
        <v>198.5</v>
      </c>
      <c r="E36" s="69">
        <f>Table1[[#This Row],[Poids unitaire brut (g)]]/1000</f>
        <v>0.19850000000000001</v>
      </c>
      <c r="F36" s="4">
        <f t="shared" si="7"/>
        <v>400</v>
      </c>
      <c r="G36" s="4">
        <f t="shared" si="8"/>
        <v>799.5</v>
      </c>
      <c r="H36" s="6"/>
    </row>
    <row r="37" spans="1:8" x14ac:dyDescent="0.25">
      <c r="A37" s="1" t="s">
        <v>74</v>
      </c>
      <c r="B37" s="1" t="s">
        <v>75</v>
      </c>
      <c r="C37" s="2" t="s">
        <v>9</v>
      </c>
      <c r="D37" s="4">
        <f>500+20.2</f>
        <v>520.20000000000005</v>
      </c>
      <c r="E37" s="69">
        <f>Table1[[#This Row],[Poids unitaire brut (g)]]/1000</f>
        <v>0.5202</v>
      </c>
      <c r="F37" s="6"/>
      <c r="G37" s="6" t="s">
        <v>21</v>
      </c>
      <c r="H37" s="6"/>
    </row>
    <row r="38" spans="1:8" x14ac:dyDescent="0.25">
      <c r="A38" s="1" t="s">
        <v>76</v>
      </c>
      <c r="B38" s="1" t="s">
        <v>77</v>
      </c>
      <c r="C38" s="2" t="s">
        <v>9</v>
      </c>
      <c r="D38" s="4">
        <v>198.5</v>
      </c>
      <c r="E38" s="69">
        <f>Table1[[#This Row],[Poids unitaire brut (g)]]/1000</f>
        <v>0.19850000000000001</v>
      </c>
      <c r="F38" s="4">
        <f t="shared" ref="F38:F48" si="9">198.5*2+3</f>
        <v>400</v>
      </c>
      <c r="G38" s="4">
        <f t="shared" ref="G38:G48" si="10">198.5*4+5.5</f>
        <v>799.5</v>
      </c>
      <c r="H38" s="6"/>
    </row>
    <row r="39" spans="1:8" x14ac:dyDescent="0.25">
      <c r="A39" s="1" t="s">
        <v>78</v>
      </c>
      <c r="B39" s="1" t="s">
        <v>79</v>
      </c>
      <c r="C39" s="2" t="s">
        <v>9</v>
      </c>
      <c r="D39" s="4">
        <v>198.5</v>
      </c>
      <c r="E39" s="69">
        <f>Table1[[#This Row],[Poids unitaire brut (g)]]/1000</f>
        <v>0.19850000000000001</v>
      </c>
      <c r="F39" s="4">
        <f t="shared" si="9"/>
        <v>400</v>
      </c>
      <c r="G39" s="4">
        <f t="shared" si="10"/>
        <v>799.5</v>
      </c>
      <c r="H39" s="6"/>
    </row>
    <row r="40" spans="1:8" x14ac:dyDescent="0.25">
      <c r="A40" s="1" t="s">
        <v>80</v>
      </c>
      <c r="B40" s="1" t="s">
        <v>81</v>
      </c>
      <c r="C40" s="2" t="s">
        <v>9</v>
      </c>
      <c r="D40" s="4">
        <v>198.5</v>
      </c>
      <c r="E40" s="69">
        <f>Table1[[#This Row],[Poids unitaire brut (g)]]/1000</f>
        <v>0.19850000000000001</v>
      </c>
      <c r="F40" s="4">
        <f t="shared" si="9"/>
        <v>400</v>
      </c>
      <c r="G40" s="4">
        <f t="shared" si="10"/>
        <v>799.5</v>
      </c>
      <c r="H40" s="6"/>
    </row>
    <row r="41" spans="1:8" x14ac:dyDescent="0.25">
      <c r="A41" s="1" t="s">
        <v>82</v>
      </c>
      <c r="B41" s="1" t="s">
        <v>83</v>
      </c>
      <c r="C41" s="2" t="s">
        <v>9</v>
      </c>
      <c r="D41" s="4">
        <v>198.5</v>
      </c>
      <c r="E41" s="69">
        <f>Table1[[#This Row],[Poids unitaire brut (g)]]/1000</f>
        <v>0.19850000000000001</v>
      </c>
      <c r="F41" s="4">
        <f t="shared" si="9"/>
        <v>400</v>
      </c>
      <c r="G41" s="4">
        <f t="shared" si="10"/>
        <v>799.5</v>
      </c>
      <c r="H41" s="6"/>
    </row>
    <row r="42" spans="1:8" x14ac:dyDescent="0.25">
      <c r="A42" s="1" t="s">
        <v>84</v>
      </c>
      <c r="B42" s="1" t="s">
        <v>85</v>
      </c>
      <c r="C42" s="2" t="s">
        <v>9</v>
      </c>
      <c r="D42" s="4">
        <v>198.5</v>
      </c>
      <c r="E42" s="69">
        <f>Table1[[#This Row],[Poids unitaire brut (g)]]/1000</f>
        <v>0.19850000000000001</v>
      </c>
      <c r="F42" s="4">
        <f t="shared" si="9"/>
        <v>400</v>
      </c>
      <c r="G42" s="4">
        <f t="shared" si="10"/>
        <v>799.5</v>
      </c>
      <c r="H42" s="6"/>
    </row>
    <row r="43" spans="1:8" x14ac:dyDescent="0.25">
      <c r="A43" s="1" t="s">
        <v>86</v>
      </c>
      <c r="B43" s="1" t="s">
        <v>87</v>
      </c>
      <c r="C43" s="2" t="s">
        <v>9</v>
      </c>
      <c r="D43" s="4">
        <v>198.5</v>
      </c>
      <c r="E43" s="69">
        <f>Table1[[#This Row],[Poids unitaire brut (g)]]/1000</f>
        <v>0.19850000000000001</v>
      </c>
      <c r="F43" s="4">
        <f t="shared" si="9"/>
        <v>400</v>
      </c>
      <c r="G43" s="4">
        <f t="shared" si="10"/>
        <v>799.5</v>
      </c>
      <c r="H43" s="6"/>
    </row>
    <row r="44" spans="1:8" x14ac:dyDescent="0.25">
      <c r="A44" s="1" t="s">
        <v>88</v>
      </c>
      <c r="B44" s="1" t="s">
        <v>89</v>
      </c>
      <c r="C44" s="2" t="s">
        <v>9</v>
      </c>
      <c r="D44" s="4">
        <v>198.5</v>
      </c>
      <c r="E44" s="69">
        <f>Table1[[#This Row],[Poids unitaire brut (g)]]/1000</f>
        <v>0.19850000000000001</v>
      </c>
      <c r="F44" s="4">
        <f t="shared" si="9"/>
        <v>400</v>
      </c>
      <c r="G44" s="4">
        <f t="shared" si="10"/>
        <v>799.5</v>
      </c>
      <c r="H44" s="6"/>
    </row>
    <row r="45" spans="1:8" x14ac:dyDescent="0.25">
      <c r="A45" s="1" t="s">
        <v>90</v>
      </c>
      <c r="B45" s="1" t="s">
        <v>91</v>
      </c>
      <c r="C45" s="2" t="s">
        <v>9</v>
      </c>
      <c r="D45" s="4">
        <v>198.5</v>
      </c>
      <c r="E45" s="69">
        <f>Table1[[#This Row],[Poids unitaire brut (g)]]/1000</f>
        <v>0.19850000000000001</v>
      </c>
      <c r="F45" s="4">
        <f t="shared" si="9"/>
        <v>400</v>
      </c>
      <c r="G45" s="4">
        <f t="shared" si="10"/>
        <v>799.5</v>
      </c>
      <c r="H45" s="6"/>
    </row>
    <row r="46" spans="1:8" x14ac:dyDescent="0.25">
      <c r="A46" s="1" t="s">
        <v>92</v>
      </c>
      <c r="B46" s="1" t="s">
        <v>93</v>
      </c>
      <c r="C46" s="2" t="s">
        <v>9</v>
      </c>
      <c r="D46" s="4">
        <v>198.5</v>
      </c>
      <c r="E46" s="69">
        <f>Table1[[#This Row],[Poids unitaire brut (g)]]/1000</f>
        <v>0.19850000000000001</v>
      </c>
      <c r="F46" s="4">
        <f t="shared" si="9"/>
        <v>400</v>
      </c>
      <c r="G46" s="4">
        <f t="shared" si="10"/>
        <v>799.5</v>
      </c>
      <c r="H46" s="6"/>
    </row>
    <row r="47" spans="1:8" x14ac:dyDescent="0.25">
      <c r="A47" s="1" t="s">
        <v>94</v>
      </c>
      <c r="B47" s="1" t="s">
        <v>95</v>
      </c>
      <c r="C47" s="2" t="s">
        <v>9</v>
      </c>
      <c r="D47" s="4">
        <v>198.5</v>
      </c>
      <c r="E47" s="69">
        <f>Table1[[#This Row],[Poids unitaire brut (g)]]/1000</f>
        <v>0.19850000000000001</v>
      </c>
      <c r="F47" s="4">
        <f t="shared" si="9"/>
        <v>400</v>
      </c>
      <c r="G47" s="4">
        <f t="shared" si="10"/>
        <v>799.5</v>
      </c>
      <c r="H47" s="6"/>
    </row>
    <row r="48" spans="1:8" x14ac:dyDescent="0.25">
      <c r="A48" s="1" t="s">
        <v>96</v>
      </c>
      <c r="B48" s="1" t="s">
        <v>97</v>
      </c>
      <c r="C48" s="2" t="s">
        <v>9</v>
      </c>
      <c r="D48" s="4">
        <v>198.5</v>
      </c>
      <c r="E48" s="69">
        <f>Table1[[#This Row],[Poids unitaire brut (g)]]/1000</f>
        <v>0.19850000000000001</v>
      </c>
      <c r="F48" s="4">
        <f t="shared" si="9"/>
        <v>400</v>
      </c>
      <c r="G48" s="4">
        <f t="shared" si="10"/>
        <v>799.5</v>
      </c>
      <c r="H48" s="6"/>
    </row>
    <row r="49" spans="1:8" x14ac:dyDescent="0.25">
      <c r="A49" s="1" t="s">
        <v>98</v>
      </c>
      <c r="B49" s="1" t="s">
        <v>99</v>
      </c>
      <c r="C49" s="2" t="s">
        <v>9</v>
      </c>
      <c r="D49" s="4">
        <f>85.5+140</f>
        <v>225.5</v>
      </c>
      <c r="E49" s="69">
        <f>Table1[[#This Row],[Poids unitaire brut (g)]]/1000</f>
        <v>0.22550000000000001</v>
      </c>
      <c r="F49" s="6"/>
      <c r="G49" s="6" t="s">
        <v>21</v>
      </c>
      <c r="H49" s="6"/>
    </row>
    <row r="50" spans="1:8" x14ac:dyDescent="0.25">
      <c r="A50" s="1" t="s">
        <v>100</v>
      </c>
      <c r="B50" s="1" t="s">
        <v>101</v>
      </c>
      <c r="C50" s="2" t="s">
        <v>9</v>
      </c>
      <c r="D50" s="4">
        <f t="shared" ref="D50:D53" si="11">85.5+140</f>
        <v>225.5</v>
      </c>
      <c r="E50" s="69">
        <f>Table1[[#This Row],[Poids unitaire brut (g)]]/1000</f>
        <v>0.22550000000000001</v>
      </c>
      <c r="F50" s="6"/>
      <c r="G50" s="6" t="s">
        <v>21</v>
      </c>
      <c r="H50" s="6"/>
    </row>
    <row r="51" spans="1:8" x14ac:dyDescent="0.25">
      <c r="A51" s="1" t="s">
        <v>102</v>
      </c>
      <c r="B51" s="1" t="s">
        <v>103</v>
      </c>
      <c r="C51" s="2" t="s">
        <v>9</v>
      </c>
      <c r="D51" s="4">
        <f t="shared" si="11"/>
        <v>225.5</v>
      </c>
      <c r="E51" s="69">
        <f>Table1[[#This Row],[Poids unitaire brut (g)]]/1000</f>
        <v>0.22550000000000001</v>
      </c>
      <c r="F51" s="6"/>
      <c r="G51" s="6" t="s">
        <v>21</v>
      </c>
      <c r="H51" s="6"/>
    </row>
    <row r="52" spans="1:8" x14ac:dyDescent="0.25">
      <c r="A52" s="1" t="s">
        <v>104</v>
      </c>
      <c r="B52" s="1" t="s">
        <v>105</v>
      </c>
      <c r="C52" s="2" t="s">
        <v>9</v>
      </c>
      <c r="D52" s="4">
        <f t="shared" si="11"/>
        <v>225.5</v>
      </c>
      <c r="E52" s="69">
        <f>Table1[[#This Row],[Poids unitaire brut (g)]]/1000</f>
        <v>0.22550000000000001</v>
      </c>
      <c r="F52" s="6"/>
      <c r="G52" s="6" t="s">
        <v>21</v>
      </c>
      <c r="H52" s="6"/>
    </row>
    <row r="53" spans="1:8" x14ac:dyDescent="0.25">
      <c r="A53" s="1" t="s">
        <v>106</v>
      </c>
      <c r="B53" s="1" t="s">
        <v>107</v>
      </c>
      <c r="C53" s="2" t="s">
        <v>9</v>
      </c>
      <c r="D53" s="4">
        <f t="shared" si="11"/>
        <v>225.5</v>
      </c>
      <c r="E53" s="69">
        <f>Table1[[#This Row],[Poids unitaire brut (g)]]/1000</f>
        <v>0.22550000000000001</v>
      </c>
      <c r="F53" s="6"/>
      <c r="G53" s="6" t="s">
        <v>21</v>
      </c>
      <c r="H53" s="6"/>
    </row>
    <row r="54" spans="1:8" x14ac:dyDescent="0.25">
      <c r="A54" s="1" t="s">
        <v>108</v>
      </c>
      <c r="B54" s="1" t="s">
        <v>109</v>
      </c>
      <c r="C54" s="2" t="s">
        <v>9</v>
      </c>
      <c r="D54" s="4">
        <f>190+139.04</f>
        <v>329.03999999999996</v>
      </c>
      <c r="E54" s="69">
        <f>Table1[[#This Row],[Poids unitaire brut (g)]]/1000</f>
        <v>0.32903999999999994</v>
      </c>
      <c r="F54" s="6"/>
      <c r="G54" s="6" t="s">
        <v>21</v>
      </c>
      <c r="H54" s="6"/>
    </row>
    <row r="55" spans="1:8" x14ac:dyDescent="0.25">
      <c r="A55" s="1" t="s">
        <v>110</v>
      </c>
      <c r="B55" s="1" t="s">
        <v>111</v>
      </c>
      <c r="C55" s="2" t="s">
        <v>9</v>
      </c>
      <c r="D55" s="4">
        <f>380+209.04</f>
        <v>589.04</v>
      </c>
      <c r="E55" s="69">
        <f>Table1[[#This Row],[Poids unitaire brut (g)]]/1000</f>
        <v>0.58904000000000001</v>
      </c>
      <c r="F55" s="6"/>
      <c r="G55" s="6" t="s">
        <v>21</v>
      </c>
      <c r="H55" s="6"/>
    </row>
    <row r="56" spans="1:8" x14ac:dyDescent="0.25">
      <c r="A56" s="1" t="s">
        <v>112</v>
      </c>
      <c r="B56" s="1" t="s">
        <v>113</v>
      </c>
      <c r="C56" s="2" t="s">
        <v>20</v>
      </c>
      <c r="D56" s="4">
        <f>151.8+35+5000</f>
        <v>5186.8</v>
      </c>
      <c r="E56" s="69">
        <f>Table1[[#This Row],[Poids unitaire brut (g)]]/1000</f>
        <v>5.1867999999999999</v>
      </c>
      <c r="F56" s="6"/>
      <c r="G56" s="6" t="s">
        <v>21</v>
      </c>
      <c r="H56" s="6"/>
    </row>
    <row r="57" spans="1:8" x14ac:dyDescent="0.25">
      <c r="A57" s="1" t="s">
        <v>114</v>
      </c>
      <c r="B57" s="1" t="s">
        <v>115</v>
      </c>
      <c r="C57" s="2" t="s">
        <v>116</v>
      </c>
      <c r="D57" s="4">
        <v>1034.7</v>
      </c>
      <c r="E57" s="69">
        <f>Table1[[#This Row],[Poids unitaire brut (g)]]/1000</f>
        <v>1.0347</v>
      </c>
      <c r="F57" s="6"/>
      <c r="G57" s="6" t="s">
        <v>21</v>
      </c>
      <c r="H57" s="6"/>
    </row>
    <row r="58" spans="1:8" x14ac:dyDescent="0.25">
      <c r="A58" s="1" t="s">
        <v>117</v>
      </c>
      <c r="B58" s="1" t="s">
        <v>118</v>
      </c>
      <c r="C58" s="2" t="s">
        <v>116</v>
      </c>
      <c r="D58" s="4">
        <v>1034.7</v>
      </c>
      <c r="E58" s="69">
        <f>Table1[[#This Row],[Poids unitaire brut (g)]]/1000</f>
        <v>1.0347</v>
      </c>
      <c r="F58" s="6"/>
      <c r="G58" s="6" t="s">
        <v>21</v>
      </c>
      <c r="H58" s="6"/>
    </row>
    <row r="59" spans="1:8" x14ac:dyDescent="0.25">
      <c r="A59" s="1" t="s">
        <v>119</v>
      </c>
      <c r="B59" s="1" t="s">
        <v>120</v>
      </c>
      <c r="C59" s="2" t="s">
        <v>116</v>
      </c>
      <c r="D59" s="4">
        <v>1034.7</v>
      </c>
      <c r="E59" s="69">
        <f>Table1[[#This Row],[Poids unitaire brut (g)]]/1000</f>
        <v>1.0347</v>
      </c>
      <c r="F59" s="6"/>
      <c r="G59" s="6" t="s">
        <v>21</v>
      </c>
      <c r="H59" s="6"/>
    </row>
    <row r="60" spans="1:8" x14ac:dyDescent="0.25">
      <c r="A60" s="1" t="s">
        <v>121</v>
      </c>
      <c r="B60" s="1" t="s">
        <v>122</v>
      </c>
      <c r="C60" s="2" t="s">
        <v>123</v>
      </c>
      <c r="D60" s="4">
        <f>1034.7*10</f>
        <v>10347</v>
      </c>
      <c r="E60" s="69">
        <f>Table1[[#This Row],[Poids unitaire brut (g)]]/1000</f>
        <v>10.347</v>
      </c>
      <c r="F60" s="6"/>
      <c r="G60" s="6" t="s">
        <v>21</v>
      </c>
      <c r="H60" s="6"/>
    </row>
    <row r="61" spans="1:8" x14ac:dyDescent="0.25">
      <c r="A61" s="1" t="s">
        <v>124</v>
      </c>
      <c r="B61" s="1" t="s">
        <v>125</v>
      </c>
      <c r="C61" s="2" t="s">
        <v>116</v>
      </c>
      <c r="D61" s="4">
        <v>1034.7</v>
      </c>
      <c r="E61" s="69">
        <f>Table1[[#This Row],[Poids unitaire brut (g)]]/1000</f>
        <v>1.0347</v>
      </c>
      <c r="F61" s="6"/>
      <c r="G61" s="6" t="s">
        <v>21</v>
      </c>
      <c r="H61" s="6"/>
    </row>
    <row r="62" spans="1:8" x14ac:dyDescent="0.25">
      <c r="A62" s="1" t="s">
        <v>126</v>
      </c>
      <c r="B62" s="1" t="s">
        <v>127</v>
      </c>
      <c r="C62" s="2" t="s">
        <v>9</v>
      </c>
      <c r="D62" s="4">
        <f>500+20.2</f>
        <v>520.20000000000005</v>
      </c>
      <c r="E62" s="69">
        <f>Table1[[#This Row],[Poids unitaire brut (g)]]/1000</f>
        <v>0.5202</v>
      </c>
      <c r="F62" s="6"/>
      <c r="G62" s="6" t="s">
        <v>21</v>
      </c>
      <c r="H62" s="6"/>
    </row>
    <row r="63" spans="1:8" x14ac:dyDescent="0.25">
      <c r="A63" s="1" t="s">
        <v>128</v>
      </c>
      <c r="B63" s="1" t="s">
        <v>129</v>
      </c>
      <c r="C63" s="2" t="s">
        <v>20</v>
      </c>
      <c r="D63" s="4">
        <f>151.8+35+5000</f>
        <v>5186.8</v>
      </c>
      <c r="E63" s="69">
        <f>Table1[[#This Row],[Poids unitaire brut (g)]]/1000</f>
        <v>5.1867999999999999</v>
      </c>
      <c r="F63" s="6"/>
      <c r="G63" s="6" t="s">
        <v>21</v>
      </c>
      <c r="H63" s="6"/>
    </row>
    <row r="64" spans="1:8" x14ac:dyDescent="0.25">
      <c r="A64" s="1" t="s">
        <v>130</v>
      </c>
      <c r="B64" s="1" t="s">
        <v>131</v>
      </c>
      <c r="C64" s="2" t="s">
        <v>9</v>
      </c>
      <c r="D64" s="4">
        <f>500+20.2</f>
        <v>520.20000000000005</v>
      </c>
      <c r="E64" s="69">
        <f>Table1[[#This Row],[Poids unitaire brut (g)]]/1000</f>
        <v>0.5202</v>
      </c>
      <c r="F64" s="6"/>
      <c r="G64" s="6" t="s">
        <v>21</v>
      </c>
      <c r="H64" s="6"/>
    </row>
    <row r="65" spans="1:8" x14ac:dyDescent="0.25">
      <c r="A65" s="1" t="s">
        <v>132</v>
      </c>
      <c r="B65" s="1" t="s">
        <v>133</v>
      </c>
      <c r="C65" s="2" t="s">
        <v>20</v>
      </c>
      <c r="D65" s="4">
        <f>151.8+35+5000</f>
        <v>5186.8</v>
      </c>
      <c r="E65" s="69">
        <f>Table1[[#This Row],[Poids unitaire brut (g)]]/1000</f>
        <v>5.1867999999999999</v>
      </c>
      <c r="F65" s="6"/>
      <c r="G65" s="6" t="s">
        <v>21</v>
      </c>
      <c r="H65" s="6"/>
    </row>
    <row r="66" spans="1:8" x14ac:dyDescent="0.25">
      <c r="A66" s="1" t="s">
        <v>134</v>
      </c>
      <c r="B66" s="1" t="s">
        <v>135</v>
      </c>
      <c r="C66" s="2" t="s">
        <v>9</v>
      </c>
      <c r="D66" s="4">
        <f t="shared" ref="D66:D67" si="12">500+20.2</f>
        <v>520.20000000000005</v>
      </c>
      <c r="E66" s="69">
        <f>Table1[[#This Row],[Poids unitaire brut (g)]]/1000</f>
        <v>0.5202</v>
      </c>
      <c r="F66" s="6"/>
      <c r="G66" s="6" t="s">
        <v>21</v>
      </c>
      <c r="H66" s="6"/>
    </row>
    <row r="67" spans="1:8" x14ac:dyDescent="0.25">
      <c r="A67" s="1" t="s">
        <v>136</v>
      </c>
      <c r="B67" s="1" t="s">
        <v>137</v>
      </c>
      <c r="C67" s="2" t="s">
        <v>9</v>
      </c>
      <c r="D67" s="4">
        <f t="shared" si="12"/>
        <v>520.20000000000005</v>
      </c>
      <c r="E67" s="69">
        <f>Table1[[#This Row],[Poids unitaire brut (g)]]/1000</f>
        <v>0.5202</v>
      </c>
      <c r="F67" s="6"/>
      <c r="G67" s="6" t="s">
        <v>21</v>
      </c>
      <c r="H67" s="6"/>
    </row>
    <row r="68" spans="1:8" x14ac:dyDescent="0.25">
      <c r="A68" s="1" t="s">
        <v>138</v>
      </c>
      <c r="B68" s="1" t="s">
        <v>139</v>
      </c>
      <c r="C68" s="2" t="s">
        <v>20</v>
      </c>
      <c r="D68" s="4">
        <f t="shared" ref="D68:D69" si="13">151.8+35+5000</f>
        <v>5186.8</v>
      </c>
      <c r="E68" s="69">
        <f>Table1[[#This Row],[Poids unitaire brut (g)]]/1000</f>
        <v>5.1867999999999999</v>
      </c>
      <c r="F68" s="6"/>
      <c r="G68" s="6" t="s">
        <v>21</v>
      </c>
      <c r="H68" s="6"/>
    </row>
    <row r="69" spans="1:8" x14ac:dyDescent="0.25">
      <c r="A69" s="1" t="s">
        <v>140</v>
      </c>
      <c r="B69" s="1" t="s">
        <v>141</v>
      </c>
      <c r="C69" s="2" t="s">
        <v>20</v>
      </c>
      <c r="D69" s="4">
        <f t="shared" si="13"/>
        <v>5186.8</v>
      </c>
      <c r="E69" s="69">
        <f>Table1[[#This Row],[Poids unitaire brut (g)]]/1000</f>
        <v>5.1867999999999999</v>
      </c>
      <c r="F69" s="6"/>
      <c r="G69" s="6" t="s">
        <v>21</v>
      </c>
      <c r="H69" s="6"/>
    </row>
    <row r="70" spans="1:8" x14ac:dyDescent="0.25">
      <c r="A70" s="1" t="s">
        <v>142</v>
      </c>
      <c r="B70" s="1" t="s">
        <v>143</v>
      </c>
      <c r="C70" s="2" t="s">
        <v>9</v>
      </c>
      <c r="D70" s="4">
        <f>500+20.2</f>
        <v>520.20000000000005</v>
      </c>
      <c r="E70" s="69">
        <f>Table1[[#This Row],[Poids unitaire brut (g)]]/1000</f>
        <v>0.5202</v>
      </c>
      <c r="F70" s="6"/>
      <c r="G70" s="6" t="s">
        <v>21</v>
      </c>
      <c r="H70" s="6"/>
    </row>
    <row r="71" spans="1:8" x14ac:dyDescent="0.25">
      <c r="A71" s="1" t="s">
        <v>144</v>
      </c>
      <c r="B71" s="1" t="s">
        <v>145</v>
      </c>
      <c r="C71" s="2" t="s">
        <v>20</v>
      </c>
      <c r="D71" s="4">
        <f>151.8+35+5000</f>
        <v>5186.8</v>
      </c>
      <c r="E71" s="69">
        <f>Table1[[#This Row],[Poids unitaire brut (g)]]/1000</f>
        <v>5.1867999999999999</v>
      </c>
      <c r="F71" s="6"/>
      <c r="G71" s="6" t="s">
        <v>21</v>
      </c>
      <c r="H71" s="6"/>
    </row>
    <row r="72" spans="1:8" x14ac:dyDescent="0.25">
      <c r="A72" s="1" t="s">
        <v>146</v>
      </c>
      <c r="B72" s="1" t="s">
        <v>147</v>
      </c>
      <c r="C72" s="2" t="s">
        <v>9</v>
      </c>
      <c r="D72" s="4">
        <f>20.2+480</f>
        <v>500.2</v>
      </c>
      <c r="E72" s="69">
        <f>Table1[[#This Row],[Poids unitaire brut (g)]]/1000</f>
        <v>0.50019999999999998</v>
      </c>
      <c r="F72" s="6"/>
      <c r="G72" s="6" t="s">
        <v>21</v>
      </c>
      <c r="H72" s="6"/>
    </row>
    <row r="73" spans="1:8" x14ac:dyDescent="0.25">
      <c r="A73" s="1" t="s">
        <v>148</v>
      </c>
      <c r="B73" s="1" t="s">
        <v>149</v>
      </c>
      <c r="C73" s="2" t="s">
        <v>150</v>
      </c>
      <c r="D73" s="4">
        <f t="shared" ref="D73:D83" si="14">151.8+35+5000</f>
        <v>5186.8</v>
      </c>
      <c r="E73" s="69">
        <f>Table1[[#This Row],[Poids unitaire brut (g)]]/1000</f>
        <v>5.1867999999999999</v>
      </c>
      <c r="F73" s="6"/>
      <c r="G73" s="6" t="s">
        <v>21</v>
      </c>
      <c r="H73" s="6"/>
    </row>
    <row r="74" spans="1:8" x14ac:dyDescent="0.25">
      <c r="A74" s="1" t="s">
        <v>151</v>
      </c>
      <c r="B74" s="1" t="s">
        <v>152</v>
      </c>
      <c r="C74" s="2" t="s">
        <v>20</v>
      </c>
      <c r="D74" s="4">
        <f t="shared" si="14"/>
        <v>5186.8</v>
      </c>
      <c r="E74" s="69">
        <f>Table1[[#This Row],[Poids unitaire brut (g)]]/1000</f>
        <v>5.1867999999999999</v>
      </c>
      <c r="F74" s="6"/>
      <c r="G74" s="6" t="s">
        <v>21</v>
      </c>
      <c r="H74" s="6"/>
    </row>
    <row r="75" spans="1:8" x14ac:dyDescent="0.25">
      <c r="A75" s="1" t="s">
        <v>153</v>
      </c>
      <c r="B75" s="1" t="s">
        <v>154</v>
      </c>
      <c r="C75" s="2" t="s">
        <v>20</v>
      </c>
      <c r="D75" s="4">
        <f t="shared" si="14"/>
        <v>5186.8</v>
      </c>
      <c r="E75" s="69">
        <f>Table1[[#This Row],[Poids unitaire brut (g)]]/1000</f>
        <v>5.1867999999999999</v>
      </c>
      <c r="F75" s="6"/>
      <c r="G75" s="6" t="s">
        <v>21</v>
      </c>
      <c r="H75" s="6"/>
    </row>
    <row r="76" spans="1:8" x14ac:dyDescent="0.25">
      <c r="A76" s="1" t="s">
        <v>155</v>
      </c>
      <c r="B76" s="1" t="s">
        <v>156</v>
      </c>
      <c r="C76" s="2" t="s">
        <v>20</v>
      </c>
      <c r="D76" s="4">
        <f t="shared" si="14"/>
        <v>5186.8</v>
      </c>
      <c r="E76" s="69">
        <f>Table1[[#This Row],[Poids unitaire brut (g)]]/1000</f>
        <v>5.1867999999999999</v>
      </c>
      <c r="F76" s="6"/>
      <c r="G76" s="6" t="s">
        <v>21</v>
      </c>
      <c r="H76" s="6"/>
    </row>
    <row r="77" spans="1:8" x14ac:dyDescent="0.25">
      <c r="A77" s="1" t="s">
        <v>157</v>
      </c>
      <c r="B77" s="1" t="s">
        <v>158</v>
      </c>
      <c r="C77" s="2" t="s">
        <v>20</v>
      </c>
      <c r="D77" s="4">
        <f t="shared" si="14"/>
        <v>5186.8</v>
      </c>
      <c r="E77" s="69">
        <f>Table1[[#This Row],[Poids unitaire brut (g)]]/1000</f>
        <v>5.1867999999999999</v>
      </c>
      <c r="F77" s="6"/>
      <c r="G77" s="6" t="s">
        <v>21</v>
      </c>
      <c r="H77" s="6"/>
    </row>
    <row r="78" spans="1:8" x14ac:dyDescent="0.25">
      <c r="A78" s="1" t="s">
        <v>159</v>
      </c>
      <c r="B78" s="1" t="s">
        <v>160</v>
      </c>
      <c r="C78" s="2" t="s">
        <v>20</v>
      </c>
      <c r="D78" s="4">
        <f t="shared" si="14"/>
        <v>5186.8</v>
      </c>
      <c r="E78" s="69">
        <f>Table1[[#This Row],[Poids unitaire brut (g)]]/1000</f>
        <v>5.1867999999999999</v>
      </c>
      <c r="F78" s="6"/>
      <c r="G78" s="6" t="s">
        <v>21</v>
      </c>
      <c r="H78" s="6"/>
    </row>
    <row r="79" spans="1:8" x14ac:dyDescent="0.25">
      <c r="A79" s="1" t="s">
        <v>161</v>
      </c>
      <c r="B79" s="1" t="s">
        <v>162</v>
      </c>
      <c r="C79" s="2" t="s">
        <v>20</v>
      </c>
      <c r="D79" s="4">
        <f t="shared" si="14"/>
        <v>5186.8</v>
      </c>
      <c r="E79" s="69">
        <f>Table1[[#This Row],[Poids unitaire brut (g)]]/1000</f>
        <v>5.1867999999999999</v>
      </c>
      <c r="F79" s="6"/>
      <c r="G79" s="6" t="s">
        <v>21</v>
      </c>
      <c r="H79" s="6"/>
    </row>
    <row r="80" spans="1:8" x14ac:dyDescent="0.25">
      <c r="A80" s="1" t="s">
        <v>163</v>
      </c>
      <c r="B80" s="1" t="s">
        <v>164</v>
      </c>
      <c r="C80" s="2" t="s">
        <v>20</v>
      </c>
      <c r="D80" s="4">
        <f t="shared" si="14"/>
        <v>5186.8</v>
      </c>
      <c r="E80" s="69">
        <f>Table1[[#This Row],[Poids unitaire brut (g)]]/1000</f>
        <v>5.1867999999999999</v>
      </c>
      <c r="F80" s="6"/>
      <c r="G80" s="6" t="s">
        <v>21</v>
      </c>
      <c r="H80" s="6"/>
    </row>
    <row r="81" spans="1:8" x14ac:dyDescent="0.25">
      <c r="A81" s="1" t="s">
        <v>165</v>
      </c>
      <c r="B81" s="1" t="s">
        <v>166</v>
      </c>
      <c r="C81" s="2" t="s">
        <v>20</v>
      </c>
      <c r="D81" s="4">
        <f t="shared" si="14"/>
        <v>5186.8</v>
      </c>
      <c r="E81" s="69">
        <f>Table1[[#This Row],[Poids unitaire brut (g)]]/1000</f>
        <v>5.1867999999999999</v>
      </c>
      <c r="F81" s="6"/>
      <c r="G81" s="6" t="s">
        <v>21</v>
      </c>
      <c r="H81" s="6"/>
    </row>
    <row r="82" spans="1:8" x14ac:dyDescent="0.25">
      <c r="A82" s="1" t="s">
        <v>167</v>
      </c>
      <c r="B82" s="1" t="s">
        <v>168</v>
      </c>
      <c r="C82" s="2" t="s">
        <v>20</v>
      </c>
      <c r="D82" s="4">
        <f t="shared" si="14"/>
        <v>5186.8</v>
      </c>
      <c r="E82" s="69">
        <f>Table1[[#This Row],[Poids unitaire brut (g)]]/1000</f>
        <v>5.1867999999999999</v>
      </c>
      <c r="F82" s="6"/>
      <c r="G82" s="6" t="s">
        <v>21</v>
      </c>
      <c r="H82" s="6"/>
    </row>
    <row r="83" spans="1:8" x14ac:dyDescent="0.25">
      <c r="A83" s="1" t="s">
        <v>169</v>
      </c>
      <c r="B83" s="1" t="s">
        <v>170</v>
      </c>
      <c r="C83" s="2" t="s">
        <v>20</v>
      </c>
      <c r="D83" s="4">
        <f t="shared" si="14"/>
        <v>5186.8</v>
      </c>
      <c r="E83" s="69">
        <f>Table1[[#This Row],[Poids unitaire brut (g)]]/1000</f>
        <v>5.1867999999999999</v>
      </c>
      <c r="F83" s="6"/>
      <c r="G83" s="6" t="s">
        <v>21</v>
      </c>
      <c r="H83" s="6"/>
    </row>
    <row r="84" spans="1:8" x14ac:dyDescent="0.25">
      <c r="A84" s="1" t="s">
        <v>171</v>
      </c>
      <c r="B84" s="1" t="s">
        <v>172</v>
      </c>
      <c r="C84" s="2" t="s">
        <v>9</v>
      </c>
      <c r="D84" s="4">
        <f>500+20.2</f>
        <v>520.20000000000005</v>
      </c>
      <c r="E84" s="69">
        <f>Table1[[#This Row],[Poids unitaire brut (g)]]/1000</f>
        <v>0.5202</v>
      </c>
      <c r="F84" s="6"/>
      <c r="G84" s="6" t="s">
        <v>21</v>
      </c>
      <c r="H84" s="6"/>
    </row>
    <row r="85" spans="1:8" x14ac:dyDescent="0.25">
      <c r="A85" s="1" t="s">
        <v>173</v>
      </c>
      <c r="B85" s="1" t="s">
        <v>174</v>
      </c>
      <c r="C85" s="2" t="s">
        <v>9</v>
      </c>
      <c r="D85" s="4">
        <f t="shared" ref="D85:D89" si="15">500+20.2</f>
        <v>520.20000000000005</v>
      </c>
      <c r="E85" s="69">
        <f>Table1[[#This Row],[Poids unitaire brut (g)]]/1000</f>
        <v>0.5202</v>
      </c>
      <c r="F85" s="6"/>
      <c r="G85" s="6" t="s">
        <v>21</v>
      </c>
      <c r="H85" s="6"/>
    </row>
    <row r="86" spans="1:8" x14ac:dyDescent="0.25">
      <c r="A86" s="1" t="s">
        <v>175</v>
      </c>
      <c r="B86" s="1" t="s">
        <v>176</v>
      </c>
      <c r="C86" s="2" t="s">
        <v>9</v>
      </c>
      <c r="D86" s="4">
        <f t="shared" si="15"/>
        <v>520.20000000000005</v>
      </c>
      <c r="E86" s="69">
        <f>Table1[[#This Row],[Poids unitaire brut (g)]]/1000</f>
        <v>0.5202</v>
      </c>
      <c r="F86" s="6"/>
      <c r="G86" s="6" t="s">
        <v>21</v>
      </c>
      <c r="H86" s="6"/>
    </row>
    <row r="87" spans="1:8" x14ac:dyDescent="0.25">
      <c r="A87" s="1" t="s">
        <v>177</v>
      </c>
      <c r="B87" s="1" t="s">
        <v>178</v>
      </c>
      <c r="C87" s="2" t="s">
        <v>9</v>
      </c>
      <c r="D87" s="4">
        <f t="shared" si="15"/>
        <v>520.20000000000005</v>
      </c>
      <c r="E87" s="69">
        <f>Table1[[#This Row],[Poids unitaire brut (g)]]/1000</f>
        <v>0.5202</v>
      </c>
      <c r="F87" s="6"/>
      <c r="G87" s="6" t="s">
        <v>21</v>
      </c>
      <c r="H87" s="6"/>
    </row>
    <row r="88" spans="1:8" x14ac:dyDescent="0.25">
      <c r="A88" s="1" t="s">
        <v>179</v>
      </c>
      <c r="B88" s="1" t="s">
        <v>180</v>
      </c>
      <c r="C88" s="2" t="s">
        <v>9</v>
      </c>
      <c r="D88" s="4">
        <f t="shared" si="15"/>
        <v>520.20000000000005</v>
      </c>
      <c r="E88" s="69">
        <f>Table1[[#This Row],[Poids unitaire brut (g)]]/1000</f>
        <v>0.5202</v>
      </c>
      <c r="F88" s="6"/>
      <c r="G88" s="6" t="s">
        <v>21</v>
      </c>
      <c r="H88" s="6"/>
    </row>
    <row r="89" spans="1:8" x14ac:dyDescent="0.25">
      <c r="A89" s="1" t="s">
        <v>181</v>
      </c>
      <c r="B89" s="1" t="s">
        <v>182</v>
      </c>
      <c r="C89" s="2" t="s">
        <v>9</v>
      </c>
      <c r="D89" s="4">
        <f t="shared" si="15"/>
        <v>520.20000000000005</v>
      </c>
      <c r="E89" s="69">
        <f>Table1[[#This Row],[Poids unitaire brut (g)]]/1000</f>
        <v>0.5202</v>
      </c>
      <c r="F89" s="6"/>
      <c r="G89" s="6" t="s">
        <v>21</v>
      </c>
      <c r="H89" s="6"/>
    </row>
    <row r="90" spans="1:8" x14ac:dyDescent="0.25">
      <c r="A90" s="1" t="s">
        <v>183</v>
      </c>
      <c r="B90" s="1" t="s">
        <v>184</v>
      </c>
      <c r="C90" s="2" t="s">
        <v>9</v>
      </c>
      <c r="D90" s="4">
        <f t="shared" ref="D90:D111" si="16">85.5+140</f>
        <v>225.5</v>
      </c>
      <c r="E90" s="69">
        <f>Table1[[#This Row],[Poids unitaire brut (g)]]/1000</f>
        <v>0.22550000000000001</v>
      </c>
      <c r="F90" s="6"/>
      <c r="G90" s="6" t="s">
        <v>21</v>
      </c>
      <c r="H90" s="6"/>
    </row>
    <row r="91" spans="1:8" x14ac:dyDescent="0.25">
      <c r="A91" s="1" t="s">
        <v>185</v>
      </c>
      <c r="B91" s="1" t="s">
        <v>186</v>
      </c>
      <c r="C91" s="2" t="s">
        <v>9</v>
      </c>
      <c r="D91" s="4">
        <f t="shared" si="16"/>
        <v>225.5</v>
      </c>
      <c r="E91" s="69">
        <f>Table1[[#This Row],[Poids unitaire brut (g)]]/1000</f>
        <v>0.22550000000000001</v>
      </c>
      <c r="F91" s="6"/>
      <c r="G91" s="6" t="s">
        <v>21</v>
      </c>
      <c r="H91" s="6"/>
    </row>
    <row r="92" spans="1:8" x14ac:dyDescent="0.25">
      <c r="A92" s="1" t="s">
        <v>187</v>
      </c>
      <c r="B92" s="1" t="s">
        <v>188</v>
      </c>
      <c r="C92" s="2" t="s">
        <v>9</v>
      </c>
      <c r="D92" s="4">
        <f t="shared" si="16"/>
        <v>225.5</v>
      </c>
      <c r="E92" s="69">
        <f>Table1[[#This Row],[Poids unitaire brut (g)]]/1000</f>
        <v>0.22550000000000001</v>
      </c>
      <c r="F92" s="6"/>
      <c r="G92" s="6" t="s">
        <v>21</v>
      </c>
      <c r="H92" s="6"/>
    </row>
    <row r="93" spans="1:8" x14ac:dyDescent="0.25">
      <c r="A93" s="1" t="s">
        <v>189</v>
      </c>
      <c r="B93" s="1" t="s">
        <v>190</v>
      </c>
      <c r="C93" s="2" t="s">
        <v>9</v>
      </c>
      <c r="D93" s="4">
        <f t="shared" si="16"/>
        <v>225.5</v>
      </c>
      <c r="E93" s="69">
        <f>Table1[[#This Row],[Poids unitaire brut (g)]]/1000</f>
        <v>0.22550000000000001</v>
      </c>
      <c r="F93" s="6"/>
      <c r="G93" s="6" t="s">
        <v>21</v>
      </c>
      <c r="H93" s="6"/>
    </row>
    <row r="94" spans="1:8" x14ac:dyDescent="0.25">
      <c r="A94" s="1" t="s">
        <v>191</v>
      </c>
      <c r="B94" s="1" t="s">
        <v>192</v>
      </c>
      <c r="C94" s="2" t="s">
        <v>9</v>
      </c>
      <c r="D94" s="4">
        <f t="shared" si="16"/>
        <v>225.5</v>
      </c>
      <c r="E94" s="69">
        <f>Table1[[#This Row],[Poids unitaire brut (g)]]/1000</f>
        <v>0.22550000000000001</v>
      </c>
      <c r="F94" s="6"/>
      <c r="G94" s="6" t="s">
        <v>21</v>
      </c>
      <c r="H94" s="6"/>
    </row>
    <row r="95" spans="1:8" x14ac:dyDescent="0.25">
      <c r="A95" s="1" t="s">
        <v>193</v>
      </c>
      <c r="B95" s="1" t="s">
        <v>194</v>
      </c>
      <c r="C95" s="2" t="s">
        <v>9</v>
      </c>
      <c r="D95" s="4">
        <f t="shared" si="16"/>
        <v>225.5</v>
      </c>
      <c r="E95" s="69">
        <f>Table1[[#This Row],[Poids unitaire brut (g)]]/1000</f>
        <v>0.22550000000000001</v>
      </c>
      <c r="F95" s="6"/>
      <c r="G95" s="6" t="s">
        <v>21</v>
      </c>
      <c r="H95" s="6"/>
    </row>
    <row r="96" spans="1:8" x14ac:dyDescent="0.25">
      <c r="A96" s="1" t="s">
        <v>195</v>
      </c>
      <c r="B96" s="1" t="s">
        <v>196</v>
      </c>
      <c r="C96" s="2" t="s">
        <v>9</v>
      </c>
      <c r="D96" s="4">
        <f t="shared" si="16"/>
        <v>225.5</v>
      </c>
      <c r="E96" s="69">
        <f>Table1[[#This Row],[Poids unitaire brut (g)]]/1000</f>
        <v>0.22550000000000001</v>
      </c>
      <c r="F96" s="6"/>
      <c r="G96" s="6" t="s">
        <v>21</v>
      </c>
      <c r="H96" s="6"/>
    </row>
    <row r="97" spans="1:8" x14ac:dyDescent="0.25">
      <c r="A97" s="1" t="s">
        <v>197</v>
      </c>
      <c r="B97" s="1" t="s">
        <v>198</v>
      </c>
      <c r="C97" s="2" t="s">
        <v>9</v>
      </c>
      <c r="D97" s="4">
        <f t="shared" si="16"/>
        <v>225.5</v>
      </c>
      <c r="E97" s="69">
        <f>Table1[[#This Row],[Poids unitaire brut (g)]]/1000</f>
        <v>0.22550000000000001</v>
      </c>
      <c r="F97" s="6"/>
      <c r="G97" s="6" t="s">
        <v>21</v>
      </c>
      <c r="H97" s="6"/>
    </row>
    <row r="98" spans="1:8" x14ac:dyDescent="0.25">
      <c r="A98" s="1" t="s">
        <v>199</v>
      </c>
      <c r="B98" s="1" t="s">
        <v>200</v>
      </c>
      <c r="C98" s="2" t="s">
        <v>9</v>
      </c>
      <c r="D98" s="4">
        <f t="shared" si="16"/>
        <v>225.5</v>
      </c>
      <c r="E98" s="69">
        <f>Table1[[#This Row],[Poids unitaire brut (g)]]/1000</f>
        <v>0.22550000000000001</v>
      </c>
      <c r="F98" s="6"/>
      <c r="G98" s="6" t="s">
        <v>21</v>
      </c>
      <c r="H98" s="6"/>
    </row>
    <row r="99" spans="1:8" x14ac:dyDescent="0.25">
      <c r="A99" s="1" t="s">
        <v>201</v>
      </c>
      <c r="B99" s="1" t="s">
        <v>202</v>
      </c>
      <c r="C99" s="2" t="s">
        <v>9</v>
      </c>
      <c r="D99" s="4">
        <f t="shared" si="16"/>
        <v>225.5</v>
      </c>
      <c r="E99" s="69">
        <f>Table1[[#This Row],[Poids unitaire brut (g)]]/1000</f>
        <v>0.22550000000000001</v>
      </c>
      <c r="F99" s="6"/>
      <c r="G99" s="6" t="s">
        <v>21</v>
      </c>
      <c r="H99" s="6"/>
    </row>
    <row r="100" spans="1:8" x14ac:dyDescent="0.25">
      <c r="A100" s="1" t="s">
        <v>203</v>
      </c>
      <c r="B100" s="1" t="s">
        <v>204</v>
      </c>
      <c r="C100" s="2" t="s">
        <v>9</v>
      </c>
      <c r="D100" s="4">
        <f t="shared" si="16"/>
        <v>225.5</v>
      </c>
      <c r="E100" s="69">
        <f>Table1[[#This Row],[Poids unitaire brut (g)]]/1000</f>
        <v>0.22550000000000001</v>
      </c>
      <c r="F100" s="6"/>
      <c r="G100" s="6" t="s">
        <v>21</v>
      </c>
      <c r="H100" s="6"/>
    </row>
    <row r="101" spans="1:8" x14ac:dyDescent="0.25">
      <c r="A101" s="1" t="s">
        <v>431</v>
      </c>
      <c r="B101" s="1" t="s">
        <v>432</v>
      </c>
      <c r="C101" s="2" t="s">
        <v>9</v>
      </c>
      <c r="D101" s="4">
        <f t="shared" si="16"/>
        <v>225.5</v>
      </c>
      <c r="E101" s="69">
        <f>Table1[[#This Row],[Poids unitaire brut (g)]]/1000</f>
        <v>0.22550000000000001</v>
      </c>
      <c r="F101" s="6"/>
      <c r="G101" s="6" t="s">
        <v>21</v>
      </c>
      <c r="H101" s="6"/>
    </row>
    <row r="102" spans="1:8" x14ac:dyDescent="0.25">
      <c r="A102" s="1" t="s">
        <v>439</v>
      </c>
      <c r="B102" s="1" t="s">
        <v>440</v>
      </c>
      <c r="C102" s="2" t="s">
        <v>9</v>
      </c>
      <c r="D102" s="4">
        <f t="shared" si="16"/>
        <v>225.5</v>
      </c>
      <c r="E102" s="69">
        <f>Table1[[#This Row],[Poids unitaire brut (g)]]/1000</f>
        <v>0.22550000000000001</v>
      </c>
      <c r="F102" s="6"/>
      <c r="G102" s="6" t="s">
        <v>21</v>
      </c>
      <c r="H102" s="6"/>
    </row>
    <row r="103" spans="1:8" x14ac:dyDescent="0.25">
      <c r="A103" s="1" t="s">
        <v>205</v>
      </c>
      <c r="B103" s="1" t="s">
        <v>206</v>
      </c>
      <c r="C103" s="2" t="s">
        <v>9</v>
      </c>
      <c r="D103" s="4">
        <f t="shared" si="16"/>
        <v>225.5</v>
      </c>
      <c r="E103" s="69">
        <f>Table1[[#This Row],[Poids unitaire brut (g)]]/1000</f>
        <v>0.22550000000000001</v>
      </c>
      <c r="F103" s="6"/>
      <c r="G103" s="6" t="s">
        <v>21</v>
      </c>
      <c r="H103" s="6"/>
    </row>
    <row r="104" spans="1:8" x14ac:dyDescent="0.25">
      <c r="A104" s="1" t="s">
        <v>207</v>
      </c>
      <c r="B104" s="1" t="s">
        <v>208</v>
      </c>
      <c r="C104" s="2" t="s">
        <v>9</v>
      </c>
      <c r="D104" s="4">
        <f t="shared" si="16"/>
        <v>225.5</v>
      </c>
      <c r="E104" s="69">
        <f>Table1[[#This Row],[Poids unitaire brut (g)]]/1000</f>
        <v>0.22550000000000001</v>
      </c>
      <c r="F104" s="6"/>
      <c r="G104" s="6" t="s">
        <v>21</v>
      </c>
      <c r="H104" s="6"/>
    </row>
    <row r="105" spans="1:8" x14ac:dyDescent="0.25">
      <c r="A105" s="1" t="s">
        <v>209</v>
      </c>
      <c r="B105" s="1" t="s">
        <v>210</v>
      </c>
      <c r="C105" s="2" t="s">
        <v>9</v>
      </c>
      <c r="D105" s="4">
        <f t="shared" si="16"/>
        <v>225.5</v>
      </c>
      <c r="E105" s="69">
        <f>Table1[[#This Row],[Poids unitaire brut (g)]]/1000</f>
        <v>0.22550000000000001</v>
      </c>
      <c r="F105" s="6"/>
      <c r="G105" s="6" t="s">
        <v>21</v>
      </c>
      <c r="H105" s="6"/>
    </row>
    <row r="106" spans="1:8" x14ac:dyDescent="0.25">
      <c r="A106" s="1" t="s">
        <v>211</v>
      </c>
      <c r="B106" s="1" t="s">
        <v>212</v>
      </c>
      <c r="C106" s="2" t="s">
        <v>9</v>
      </c>
      <c r="D106" s="4">
        <f t="shared" si="16"/>
        <v>225.5</v>
      </c>
      <c r="E106" s="69">
        <f>Table1[[#This Row],[Poids unitaire brut (g)]]/1000</f>
        <v>0.22550000000000001</v>
      </c>
      <c r="F106" s="6"/>
      <c r="G106" s="6" t="s">
        <v>21</v>
      </c>
      <c r="H106" s="6"/>
    </row>
    <row r="107" spans="1:8" x14ac:dyDescent="0.25">
      <c r="A107" s="1" t="s">
        <v>213</v>
      </c>
      <c r="B107" s="1" t="s">
        <v>214</v>
      </c>
      <c r="C107" s="2" t="s">
        <v>9</v>
      </c>
      <c r="D107" s="4">
        <f t="shared" si="16"/>
        <v>225.5</v>
      </c>
      <c r="E107" s="69">
        <f>Table1[[#This Row],[Poids unitaire brut (g)]]/1000</f>
        <v>0.22550000000000001</v>
      </c>
      <c r="F107" s="6"/>
      <c r="G107" s="6" t="s">
        <v>21</v>
      </c>
      <c r="H107" s="6"/>
    </row>
    <row r="108" spans="1:8" x14ac:dyDescent="0.25">
      <c r="A108" s="1" t="s">
        <v>215</v>
      </c>
      <c r="B108" s="1" t="s">
        <v>216</v>
      </c>
      <c r="C108" s="2" t="s">
        <v>9</v>
      </c>
      <c r="D108" s="4">
        <f t="shared" si="16"/>
        <v>225.5</v>
      </c>
      <c r="E108" s="69">
        <f>Table1[[#This Row],[Poids unitaire brut (g)]]/1000</f>
        <v>0.22550000000000001</v>
      </c>
      <c r="F108" s="6"/>
      <c r="G108" s="6" t="s">
        <v>21</v>
      </c>
      <c r="H108" s="6"/>
    </row>
    <row r="109" spans="1:8" x14ac:dyDescent="0.25">
      <c r="A109" s="1" t="s">
        <v>433</v>
      </c>
      <c r="B109" s="1" t="s">
        <v>434</v>
      </c>
      <c r="C109" s="2" t="s">
        <v>9</v>
      </c>
      <c r="D109" s="4">
        <f t="shared" si="16"/>
        <v>225.5</v>
      </c>
      <c r="E109" s="69">
        <f>Table1[[#This Row],[Poids unitaire brut (g)]]/1000</f>
        <v>0.22550000000000001</v>
      </c>
      <c r="F109" s="6"/>
      <c r="G109" s="6" t="s">
        <v>21</v>
      </c>
      <c r="H109" s="6"/>
    </row>
    <row r="110" spans="1:8" x14ac:dyDescent="0.25">
      <c r="A110" t="s">
        <v>396</v>
      </c>
      <c r="B110" t="s">
        <v>397</v>
      </c>
      <c r="C110" s="2" t="s">
        <v>9</v>
      </c>
      <c r="D110" s="4">
        <f t="shared" si="16"/>
        <v>225.5</v>
      </c>
      <c r="E110" s="69">
        <f>Table1[[#This Row],[Poids unitaire brut (g)]]/1000</f>
        <v>0.22550000000000001</v>
      </c>
      <c r="F110" s="6"/>
      <c r="G110" s="6"/>
      <c r="H110" s="6"/>
    </row>
    <row r="111" spans="1:8" x14ac:dyDescent="0.25">
      <c r="A111" t="s">
        <v>398</v>
      </c>
      <c r="B111" t="s">
        <v>399</v>
      </c>
      <c r="C111" s="2" t="s">
        <v>9</v>
      </c>
      <c r="D111" s="4">
        <f t="shared" si="16"/>
        <v>225.5</v>
      </c>
      <c r="E111" s="69">
        <f>Table1[[#This Row],[Poids unitaire brut (g)]]/1000</f>
        <v>0.22550000000000001</v>
      </c>
      <c r="F111" s="6"/>
      <c r="G111" s="6"/>
      <c r="H111" s="6"/>
    </row>
    <row r="112" spans="1:8" x14ac:dyDescent="0.25">
      <c r="A112" s="1" t="s">
        <v>217</v>
      </c>
      <c r="B112" s="1" t="s">
        <v>218</v>
      </c>
      <c r="C112" s="2" t="s">
        <v>9</v>
      </c>
      <c r="D112" s="4">
        <v>131</v>
      </c>
      <c r="E112" s="69">
        <f>Table1[[#This Row],[Poids unitaire brut (g)]]/1000</f>
        <v>0.13100000000000001</v>
      </c>
      <c r="F112" s="6"/>
      <c r="G112" s="6" t="s">
        <v>21</v>
      </c>
      <c r="H112" s="6"/>
    </row>
    <row r="113" spans="1:8" x14ac:dyDescent="0.25">
      <c r="A113" s="1" t="s">
        <v>219</v>
      </c>
      <c r="B113" s="1" t="s">
        <v>220</v>
      </c>
      <c r="C113" s="2" t="s">
        <v>9</v>
      </c>
      <c r="D113" s="4">
        <v>131</v>
      </c>
      <c r="E113" s="69">
        <f>Table1[[#This Row],[Poids unitaire brut (g)]]/1000</f>
        <v>0.13100000000000001</v>
      </c>
      <c r="F113" s="6"/>
      <c r="G113" s="6" t="s">
        <v>21</v>
      </c>
      <c r="H113" s="6"/>
    </row>
    <row r="114" spans="1:8" x14ac:dyDescent="0.25">
      <c r="A114" s="1" t="s">
        <v>221</v>
      </c>
      <c r="B114" s="1" t="s">
        <v>222</v>
      </c>
      <c r="C114" s="2" t="s">
        <v>9</v>
      </c>
      <c r="D114" s="4">
        <v>131</v>
      </c>
      <c r="E114" s="69">
        <f>Table1[[#This Row],[Poids unitaire brut (g)]]/1000</f>
        <v>0.13100000000000001</v>
      </c>
      <c r="F114" s="6"/>
      <c r="G114" s="6" t="s">
        <v>21</v>
      </c>
      <c r="H114" s="6"/>
    </row>
    <row r="115" spans="1:8" x14ac:dyDescent="0.25">
      <c r="A115" s="1" t="s">
        <v>223</v>
      </c>
      <c r="B115" s="1" t="s">
        <v>224</v>
      </c>
      <c r="C115" s="2" t="s">
        <v>9</v>
      </c>
      <c r="D115" s="4">
        <v>131</v>
      </c>
      <c r="E115" s="69">
        <f>Table1[[#This Row],[Poids unitaire brut (g)]]/1000</f>
        <v>0.13100000000000001</v>
      </c>
      <c r="F115" s="6"/>
      <c r="G115" s="6" t="s">
        <v>21</v>
      </c>
      <c r="H115" s="6"/>
    </row>
    <row r="116" spans="1:8" x14ac:dyDescent="0.25">
      <c r="A116" s="1" t="s">
        <v>225</v>
      </c>
      <c r="B116" s="1" t="s">
        <v>226</v>
      </c>
      <c r="C116" s="2" t="s">
        <v>9</v>
      </c>
      <c r="D116" s="4">
        <v>131</v>
      </c>
      <c r="E116" s="69">
        <f>Table1[[#This Row],[Poids unitaire brut (g)]]/1000</f>
        <v>0.13100000000000001</v>
      </c>
      <c r="F116" s="6"/>
      <c r="G116" s="6" t="s">
        <v>21</v>
      </c>
      <c r="H116" s="6"/>
    </row>
    <row r="117" spans="1:8" x14ac:dyDescent="0.25">
      <c r="A117" s="1" t="s">
        <v>227</v>
      </c>
      <c r="B117" s="1" t="s">
        <v>228</v>
      </c>
      <c r="C117" s="2" t="s">
        <v>9</v>
      </c>
      <c r="D117" s="4">
        <f t="shared" ref="D117:D137" si="17">85.5+140</f>
        <v>225.5</v>
      </c>
      <c r="E117" s="69">
        <f>Table1[[#This Row],[Poids unitaire brut (g)]]/1000</f>
        <v>0.22550000000000001</v>
      </c>
      <c r="F117" s="6"/>
      <c r="G117" s="6" t="s">
        <v>21</v>
      </c>
      <c r="H117" s="6"/>
    </row>
    <row r="118" spans="1:8" x14ac:dyDescent="0.25">
      <c r="A118" s="1" t="s">
        <v>229</v>
      </c>
      <c r="B118" s="1" t="s">
        <v>230</v>
      </c>
      <c r="C118" s="2" t="s">
        <v>9</v>
      </c>
      <c r="D118" s="4">
        <f t="shared" si="17"/>
        <v>225.5</v>
      </c>
      <c r="E118" s="69">
        <f>Table1[[#This Row],[Poids unitaire brut (g)]]/1000</f>
        <v>0.22550000000000001</v>
      </c>
      <c r="F118" s="6"/>
      <c r="G118" s="6" t="s">
        <v>21</v>
      </c>
      <c r="H118" s="6"/>
    </row>
    <row r="119" spans="1:8" x14ac:dyDescent="0.25">
      <c r="A119" s="1" t="s">
        <v>231</v>
      </c>
      <c r="B119" s="1" t="s">
        <v>232</v>
      </c>
      <c r="C119" s="2" t="s">
        <v>9</v>
      </c>
      <c r="D119" s="4">
        <f t="shared" si="17"/>
        <v>225.5</v>
      </c>
      <c r="E119" s="69">
        <f>Table1[[#This Row],[Poids unitaire brut (g)]]/1000</f>
        <v>0.22550000000000001</v>
      </c>
      <c r="F119" s="6"/>
      <c r="G119" s="6" t="s">
        <v>21</v>
      </c>
      <c r="H119" s="6"/>
    </row>
    <row r="120" spans="1:8" x14ac:dyDescent="0.25">
      <c r="A120" s="1" t="s">
        <v>233</v>
      </c>
      <c r="B120" s="1" t="s">
        <v>234</v>
      </c>
      <c r="C120" s="2" t="s">
        <v>9</v>
      </c>
      <c r="D120" s="4">
        <f t="shared" si="17"/>
        <v>225.5</v>
      </c>
      <c r="E120" s="69">
        <f>Table1[[#This Row],[Poids unitaire brut (g)]]/1000</f>
        <v>0.22550000000000001</v>
      </c>
      <c r="F120" s="6"/>
      <c r="G120" s="6" t="s">
        <v>21</v>
      </c>
      <c r="H120" s="6"/>
    </row>
    <row r="121" spans="1:8" x14ac:dyDescent="0.25">
      <c r="A121" s="1" t="s">
        <v>235</v>
      </c>
      <c r="B121" s="1" t="s">
        <v>236</v>
      </c>
      <c r="C121" s="2" t="s">
        <v>9</v>
      </c>
      <c r="D121" s="4">
        <f t="shared" si="17"/>
        <v>225.5</v>
      </c>
      <c r="E121" s="69">
        <f>Table1[[#This Row],[Poids unitaire brut (g)]]/1000</f>
        <v>0.22550000000000001</v>
      </c>
      <c r="F121" s="6"/>
      <c r="G121" s="6" t="s">
        <v>21</v>
      </c>
      <c r="H121" s="6"/>
    </row>
    <row r="122" spans="1:8" x14ac:dyDescent="0.25">
      <c r="A122" s="1" t="s">
        <v>237</v>
      </c>
      <c r="B122" s="1" t="s">
        <v>238</v>
      </c>
      <c r="C122" s="2" t="s">
        <v>9</v>
      </c>
      <c r="D122" s="4">
        <f t="shared" si="17"/>
        <v>225.5</v>
      </c>
      <c r="E122" s="69">
        <f>Table1[[#This Row],[Poids unitaire brut (g)]]/1000</f>
        <v>0.22550000000000001</v>
      </c>
      <c r="F122" s="6"/>
      <c r="G122" s="6" t="s">
        <v>21</v>
      </c>
      <c r="H122" s="6"/>
    </row>
    <row r="123" spans="1:8" x14ac:dyDescent="0.25">
      <c r="A123" s="1" t="s">
        <v>239</v>
      </c>
      <c r="B123" s="1" t="s">
        <v>240</v>
      </c>
      <c r="C123" s="2" t="s">
        <v>9</v>
      </c>
      <c r="D123" s="4">
        <f t="shared" si="17"/>
        <v>225.5</v>
      </c>
      <c r="E123" s="69">
        <f>Table1[[#This Row],[Poids unitaire brut (g)]]/1000</f>
        <v>0.22550000000000001</v>
      </c>
      <c r="F123" s="6"/>
      <c r="G123" s="6" t="s">
        <v>21</v>
      </c>
      <c r="H123" s="6"/>
    </row>
    <row r="124" spans="1:8" x14ac:dyDescent="0.25">
      <c r="A124" s="1" t="s">
        <v>241</v>
      </c>
      <c r="B124" s="1" t="s">
        <v>242</v>
      </c>
      <c r="C124" s="2" t="s">
        <v>9</v>
      </c>
      <c r="D124" s="4">
        <f t="shared" si="17"/>
        <v>225.5</v>
      </c>
      <c r="E124" s="69">
        <f>Table1[[#This Row],[Poids unitaire brut (g)]]/1000</f>
        <v>0.22550000000000001</v>
      </c>
      <c r="F124" s="6"/>
      <c r="G124" s="6" t="s">
        <v>21</v>
      </c>
      <c r="H124" s="6"/>
    </row>
    <row r="125" spans="1:8" x14ac:dyDescent="0.25">
      <c r="A125" s="1" t="s">
        <v>243</v>
      </c>
      <c r="B125" s="1" t="s">
        <v>244</v>
      </c>
      <c r="C125" s="2" t="s">
        <v>9</v>
      </c>
      <c r="D125" s="4">
        <f t="shared" si="17"/>
        <v>225.5</v>
      </c>
      <c r="E125" s="69">
        <f>Table1[[#This Row],[Poids unitaire brut (g)]]/1000</f>
        <v>0.22550000000000001</v>
      </c>
      <c r="F125" s="6"/>
      <c r="G125" s="6" t="s">
        <v>21</v>
      </c>
      <c r="H125" s="6"/>
    </row>
    <row r="126" spans="1:8" x14ac:dyDescent="0.25">
      <c r="A126" s="1" t="s">
        <v>245</v>
      </c>
      <c r="B126" s="1" t="s">
        <v>246</v>
      </c>
      <c r="C126" s="2" t="s">
        <v>9</v>
      </c>
      <c r="D126" s="4">
        <f t="shared" si="17"/>
        <v>225.5</v>
      </c>
      <c r="E126" s="69">
        <f>Table1[[#This Row],[Poids unitaire brut (g)]]/1000</f>
        <v>0.22550000000000001</v>
      </c>
      <c r="F126" s="6"/>
      <c r="G126" s="6" t="s">
        <v>21</v>
      </c>
      <c r="H126" s="6"/>
    </row>
    <row r="127" spans="1:8" x14ac:dyDescent="0.25">
      <c r="A127" s="1" t="s">
        <v>247</v>
      </c>
      <c r="B127" s="1" t="s">
        <v>248</v>
      </c>
      <c r="C127" s="2" t="s">
        <v>9</v>
      </c>
      <c r="D127" s="4">
        <f t="shared" si="17"/>
        <v>225.5</v>
      </c>
      <c r="E127" s="69">
        <f>Table1[[#This Row],[Poids unitaire brut (g)]]/1000</f>
        <v>0.22550000000000001</v>
      </c>
      <c r="F127" s="6"/>
      <c r="G127" s="6" t="s">
        <v>21</v>
      </c>
      <c r="H127" s="6"/>
    </row>
    <row r="128" spans="1:8" x14ac:dyDescent="0.25">
      <c r="A128" s="1" t="s">
        <v>249</v>
      </c>
      <c r="B128" s="1" t="s">
        <v>250</v>
      </c>
      <c r="C128" s="2" t="s">
        <v>9</v>
      </c>
      <c r="D128" s="4">
        <f t="shared" si="17"/>
        <v>225.5</v>
      </c>
      <c r="E128" s="69">
        <f>Table1[[#This Row],[Poids unitaire brut (g)]]/1000</f>
        <v>0.22550000000000001</v>
      </c>
      <c r="F128" s="6"/>
      <c r="G128" s="6" t="s">
        <v>21</v>
      </c>
      <c r="H128" s="6"/>
    </row>
    <row r="129" spans="1:8" x14ac:dyDescent="0.25">
      <c r="A129" s="1" t="s">
        <v>251</v>
      </c>
      <c r="B129" s="1" t="s">
        <v>252</v>
      </c>
      <c r="C129" s="2" t="s">
        <v>9</v>
      </c>
      <c r="D129" s="4">
        <f t="shared" si="17"/>
        <v>225.5</v>
      </c>
      <c r="E129" s="69">
        <f>Table1[[#This Row],[Poids unitaire brut (g)]]/1000</f>
        <v>0.22550000000000001</v>
      </c>
      <c r="F129" s="6"/>
      <c r="G129" s="6" t="s">
        <v>21</v>
      </c>
      <c r="H129" s="6"/>
    </row>
    <row r="130" spans="1:8" x14ac:dyDescent="0.25">
      <c r="A130" s="1" t="s">
        <v>253</v>
      </c>
      <c r="B130" s="1" t="s">
        <v>254</v>
      </c>
      <c r="C130" s="2" t="s">
        <v>9</v>
      </c>
      <c r="D130" s="4">
        <f t="shared" si="17"/>
        <v>225.5</v>
      </c>
      <c r="E130" s="69">
        <f>Table1[[#This Row],[Poids unitaire brut (g)]]/1000</f>
        <v>0.22550000000000001</v>
      </c>
      <c r="F130" s="6"/>
      <c r="G130" s="6" t="s">
        <v>21</v>
      </c>
      <c r="H130" s="6"/>
    </row>
    <row r="131" spans="1:8" x14ac:dyDescent="0.25">
      <c r="A131" s="1" t="s">
        <v>255</v>
      </c>
      <c r="B131" s="1" t="s">
        <v>256</v>
      </c>
      <c r="C131" s="2" t="s">
        <v>9</v>
      </c>
      <c r="D131" s="4">
        <f t="shared" si="17"/>
        <v>225.5</v>
      </c>
      <c r="E131" s="69">
        <f>Table1[[#This Row],[Poids unitaire brut (g)]]/1000</f>
        <v>0.22550000000000001</v>
      </c>
      <c r="F131" s="6"/>
      <c r="G131" s="6" t="s">
        <v>21</v>
      </c>
      <c r="H131" s="6"/>
    </row>
    <row r="132" spans="1:8" x14ac:dyDescent="0.25">
      <c r="A132" s="1" t="s">
        <v>257</v>
      </c>
      <c r="B132" s="1" t="s">
        <v>258</v>
      </c>
      <c r="C132" s="2" t="s">
        <v>9</v>
      </c>
      <c r="D132" s="4">
        <f t="shared" si="17"/>
        <v>225.5</v>
      </c>
      <c r="E132" s="69">
        <f>Table1[[#This Row],[Poids unitaire brut (g)]]/1000</f>
        <v>0.22550000000000001</v>
      </c>
      <c r="F132" s="6"/>
      <c r="G132" s="6" t="s">
        <v>21</v>
      </c>
      <c r="H132" s="6"/>
    </row>
    <row r="133" spans="1:8" x14ac:dyDescent="0.25">
      <c r="A133" s="1" t="s">
        <v>259</v>
      </c>
      <c r="B133" s="1" t="s">
        <v>260</v>
      </c>
      <c r="C133" s="2" t="s">
        <v>9</v>
      </c>
      <c r="D133" s="4">
        <f t="shared" si="17"/>
        <v>225.5</v>
      </c>
      <c r="E133" s="69">
        <f>Table1[[#This Row],[Poids unitaire brut (g)]]/1000</f>
        <v>0.22550000000000001</v>
      </c>
      <c r="F133" s="6"/>
      <c r="G133" s="6" t="s">
        <v>21</v>
      </c>
      <c r="H133" s="6"/>
    </row>
    <row r="134" spans="1:8" x14ac:dyDescent="0.25">
      <c r="A134" s="1" t="s">
        <v>261</v>
      </c>
      <c r="B134" s="1" t="s">
        <v>262</v>
      </c>
      <c r="C134" s="2" t="s">
        <v>9</v>
      </c>
      <c r="D134" s="4">
        <f t="shared" si="17"/>
        <v>225.5</v>
      </c>
      <c r="E134" s="69">
        <f>Table1[[#This Row],[Poids unitaire brut (g)]]/1000</f>
        <v>0.22550000000000001</v>
      </c>
      <c r="F134" s="6"/>
      <c r="G134" s="6" t="s">
        <v>21</v>
      </c>
      <c r="H134" s="6"/>
    </row>
    <row r="135" spans="1:8" x14ac:dyDescent="0.25">
      <c r="A135" s="1" t="s">
        <v>263</v>
      </c>
      <c r="B135" s="1" t="s">
        <v>264</v>
      </c>
      <c r="C135" s="2" t="s">
        <v>9</v>
      </c>
      <c r="D135" s="4">
        <f t="shared" si="17"/>
        <v>225.5</v>
      </c>
      <c r="E135" s="69">
        <f>Table1[[#This Row],[Poids unitaire brut (g)]]/1000</f>
        <v>0.22550000000000001</v>
      </c>
      <c r="F135" s="6"/>
      <c r="G135" s="6" t="s">
        <v>21</v>
      </c>
      <c r="H135" s="6"/>
    </row>
    <row r="136" spans="1:8" x14ac:dyDescent="0.25">
      <c r="A136" s="1" t="s">
        <v>435</v>
      </c>
      <c r="B136" s="1" t="s">
        <v>436</v>
      </c>
      <c r="C136" s="2" t="s">
        <v>9</v>
      </c>
      <c r="D136" s="4">
        <f t="shared" si="17"/>
        <v>225.5</v>
      </c>
      <c r="E136" s="69">
        <f>Table1[[#This Row],[Poids unitaire brut (g)]]/1000</f>
        <v>0.22550000000000001</v>
      </c>
      <c r="F136" s="6"/>
      <c r="G136" s="6" t="s">
        <v>21</v>
      </c>
      <c r="H136" s="6"/>
    </row>
    <row r="137" spans="1:8" x14ac:dyDescent="0.25">
      <c r="A137" s="1" t="s">
        <v>437</v>
      </c>
      <c r="B137" s="1" t="s">
        <v>438</v>
      </c>
      <c r="C137" s="2" t="s">
        <v>9</v>
      </c>
      <c r="D137" s="4">
        <f t="shared" si="17"/>
        <v>225.5</v>
      </c>
      <c r="E137" s="69">
        <f>Table1[[#This Row],[Poids unitaire brut (g)]]/1000</f>
        <v>0.22550000000000001</v>
      </c>
      <c r="F137" s="6"/>
      <c r="G137" s="6" t="s">
        <v>21</v>
      </c>
      <c r="H137" s="6"/>
    </row>
    <row r="138" spans="1:8" x14ac:dyDescent="0.25">
      <c r="A138" s="1" t="s">
        <v>265</v>
      </c>
      <c r="B138" s="1" t="s">
        <v>266</v>
      </c>
      <c r="C138" s="2" t="s">
        <v>9</v>
      </c>
      <c r="D138" s="4">
        <v>198.5</v>
      </c>
      <c r="E138" s="69">
        <f>Table1[[#This Row],[Poids unitaire brut (g)]]/1000</f>
        <v>0.19850000000000001</v>
      </c>
      <c r="F138" s="4">
        <f t="shared" ref="F138:F140" si="18">198.5*2+3</f>
        <v>400</v>
      </c>
      <c r="G138" s="4">
        <f t="shared" ref="G138:G140" si="19">198.5*4+5.5</f>
        <v>799.5</v>
      </c>
      <c r="H138" s="6"/>
    </row>
    <row r="139" spans="1:8" x14ac:dyDescent="0.25">
      <c r="A139" s="1" t="s">
        <v>267</v>
      </c>
      <c r="B139" s="1" t="s">
        <v>268</v>
      </c>
      <c r="C139" s="2" t="s">
        <v>9</v>
      </c>
      <c r="D139" s="4">
        <v>198.5</v>
      </c>
      <c r="E139" s="69">
        <f>Table1[[#This Row],[Poids unitaire brut (g)]]/1000</f>
        <v>0.19850000000000001</v>
      </c>
      <c r="F139" s="4">
        <f t="shared" si="18"/>
        <v>400</v>
      </c>
      <c r="G139" s="4">
        <f t="shared" si="19"/>
        <v>799.5</v>
      </c>
      <c r="H139" s="6"/>
    </row>
    <row r="140" spans="1:8" x14ac:dyDescent="0.25">
      <c r="A140" s="1" t="s">
        <v>269</v>
      </c>
      <c r="B140" s="1" t="s">
        <v>270</v>
      </c>
      <c r="C140" s="2" t="s">
        <v>9</v>
      </c>
      <c r="D140" s="4">
        <v>198.5</v>
      </c>
      <c r="E140" s="69">
        <f>Table1[[#This Row],[Poids unitaire brut (g)]]/1000</f>
        <v>0.19850000000000001</v>
      </c>
      <c r="F140" s="4">
        <f t="shared" si="18"/>
        <v>400</v>
      </c>
      <c r="G140" s="4">
        <f t="shared" si="19"/>
        <v>799.5</v>
      </c>
      <c r="H140" s="6"/>
    </row>
    <row r="141" spans="1:8" x14ac:dyDescent="0.25">
      <c r="A141" s="1" t="s">
        <v>271</v>
      </c>
      <c r="B141" s="1" t="s">
        <v>272</v>
      </c>
      <c r="C141" s="2" t="s">
        <v>9</v>
      </c>
      <c r="D141" s="4">
        <f t="shared" ref="D141:D144" si="20">500+20.2</f>
        <v>520.20000000000005</v>
      </c>
      <c r="E141" s="69">
        <f>Table1[[#This Row],[Poids unitaire brut (g)]]/1000</f>
        <v>0.5202</v>
      </c>
      <c r="F141" s="6"/>
      <c r="G141" s="6" t="s">
        <v>21</v>
      </c>
      <c r="H141" s="6"/>
    </row>
    <row r="142" spans="1:8" x14ac:dyDescent="0.25">
      <c r="A142" s="1" t="s">
        <v>273</v>
      </c>
      <c r="B142" s="1" t="s">
        <v>274</v>
      </c>
      <c r="C142" s="2" t="s">
        <v>9</v>
      </c>
      <c r="D142" s="4">
        <f t="shared" si="20"/>
        <v>520.20000000000005</v>
      </c>
      <c r="E142" s="69">
        <f>Table1[[#This Row],[Poids unitaire brut (g)]]/1000</f>
        <v>0.5202</v>
      </c>
      <c r="F142" s="6"/>
      <c r="G142" s="6" t="s">
        <v>21</v>
      </c>
      <c r="H142" s="6"/>
    </row>
    <row r="143" spans="1:8" x14ac:dyDescent="0.25">
      <c r="A143" s="1" t="s">
        <v>412</v>
      </c>
      <c r="B143" s="1" t="s">
        <v>413</v>
      </c>
      <c r="C143" s="2" t="s">
        <v>9</v>
      </c>
      <c r="D143" s="4">
        <f t="shared" si="20"/>
        <v>520.20000000000005</v>
      </c>
      <c r="E143" s="69">
        <f>Table1[[#This Row],[Poids unitaire brut (g)]]/1000</f>
        <v>0.5202</v>
      </c>
      <c r="F143" s="6"/>
      <c r="G143" s="6"/>
      <c r="H143" s="6"/>
    </row>
    <row r="144" spans="1:8" x14ac:dyDescent="0.25">
      <c r="A144" s="1" t="s">
        <v>414</v>
      </c>
      <c r="B144" s="1" t="s">
        <v>415</v>
      </c>
      <c r="C144" s="2" t="s">
        <v>9</v>
      </c>
      <c r="D144" s="4">
        <f t="shared" si="20"/>
        <v>520.20000000000005</v>
      </c>
      <c r="E144" s="69">
        <f>Table1[[#This Row],[Poids unitaire brut (g)]]/1000</f>
        <v>0.5202</v>
      </c>
      <c r="F144" s="6"/>
      <c r="G144" s="6"/>
      <c r="H144" s="6"/>
    </row>
    <row r="145" spans="1:8" x14ac:dyDescent="0.25">
      <c r="A145" t="s">
        <v>275</v>
      </c>
      <c r="B145" t="s">
        <v>276</v>
      </c>
      <c r="C145" s="3" t="s">
        <v>277</v>
      </c>
      <c r="D145" s="4">
        <v>250</v>
      </c>
      <c r="E145" s="69">
        <f>Table1[[#This Row],[Poids unitaire brut (g)]]/1000</f>
        <v>0.25</v>
      </c>
      <c r="F145" s="6"/>
      <c r="G145" s="6" t="s">
        <v>21</v>
      </c>
      <c r="H145" s="6"/>
    </row>
    <row r="146" spans="1:8" x14ac:dyDescent="0.25">
      <c r="A146" t="s">
        <v>278</v>
      </c>
      <c r="B146" t="s">
        <v>279</v>
      </c>
      <c r="C146" s="3" t="s">
        <v>277</v>
      </c>
      <c r="D146" s="4">
        <v>250</v>
      </c>
      <c r="E146" s="69">
        <f>Table1[[#This Row],[Poids unitaire brut (g)]]/1000</f>
        <v>0.25</v>
      </c>
      <c r="F146" s="6"/>
      <c r="G146" s="6" t="s">
        <v>21</v>
      </c>
      <c r="H146" s="6"/>
    </row>
    <row r="147" spans="1:8" x14ac:dyDescent="0.25">
      <c r="A147" t="s">
        <v>280</v>
      </c>
      <c r="B147" t="s">
        <v>281</v>
      </c>
      <c r="C147" s="3" t="s">
        <v>277</v>
      </c>
      <c r="D147" s="4">
        <v>250</v>
      </c>
      <c r="E147" s="69">
        <f>Table1[[#This Row],[Poids unitaire brut (g)]]/1000</f>
        <v>0.25</v>
      </c>
      <c r="F147" s="6"/>
      <c r="G147" s="6" t="s">
        <v>21</v>
      </c>
      <c r="H147" s="6"/>
    </row>
    <row r="148" spans="1:8" x14ac:dyDescent="0.25">
      <c r="A148" t="s">
        <v>416</v>
      </c>
      <c r="B148" t="s">
        <v>417</v>
      </c>
      <c r="C148" s="3" t="s">
        <v>277</v>
      </c>
      <c r="D148" s="4">
        <v>125</v>
      </c>
      <c r="E148" s="72">
        <f>Table1[[#This Row],[Poids unitaire brut (g)]]/1000</f>
        <v>0.125</v>
      </c>
      <c r="F148" s="6"/>
      <c r="G148" s="6"/>
      <c r="H148" s="6"/>
    </row>
    <row r="149" spans="1:8" x14ac:dyDescent="0.25">
      <c r="A149" t="s">
        <v>418</v>
      </c>
      <c r="B149" t="s">
        <v>419</v>
      </c>
      <c r="C149" s="3" t="s">
        <v>277</v>
      </c>
      <c r="D149" s="4">
        <v>125</v>
      </c>
      <c r="E149" s="72">
        <f>Table1[[#This Row],[Poids unitaire brut (g)]]/1000</f>
        <v>0.125</v>
      </c>
      <c r="F149" s="6"/>
      <c r="G149" s="6"/>
      <c r="H149" s="6"/>
    </row>
    <row r="150" spans="1:8" x14ac:dyDescent="0.25">
      <c r="A150" t="s">
        <v>420</v>
      </c>
      <c r="B150" t="s">
        <v>421</v>
      </c>
      <c r="C150" s="3" t="s">
        <v>277</v>
      </c>
      <c r="D150" s="4">
        <v>125</v>
      </c>
      <c r="E150" s="72">
        <f>Table1[[#This Row],[Poids unitaire brut (g)]]/1000</f>
        <v>0.125</v>
      </c>
      <c r="F150" s="6"/>
      <c r="G150" s="6"/>
      <c r="H150" s="6"/>
    </row>
    <row r="151" spans="1:8" x14ac:dyDescent="0.25">
      <c r="A151" t="s">
        <v>422</v>
      </c>
      <c r="B151" t="s">
        <v>423</v>
      </c>
      <c r="C151" s="3" t="s">
        <v>277</v>
      </c>
      <c r="D151" s="4">
        <v>125</v>
      </c>
      <c r="E151" s="72">
        <f>Table1[[#This Row],[Poids unitaire brut (g)]]/1000</f>
        <v>0.125</v>
      </c>
      <c r="F151" s="6"/>
      <c r="G151" s="6"/>
      <c r="H151" s="6"/>
    </row>
    <row r="152" spans="1:8" x14ac:dyDescent="0.25">
      <c r="A152" t="s">
        <v>282</v>
      </c>
      <c r="B152" t="s">
        <v>283</v>
      </c>
      <c r="C152" s="2" t="s">
        <v>9</v>
      </c>
      <c r="D152" s="4">
        <v>198.5</v>
      </c>
      <c r="E152" s="69">
        <f>Table1[[#This Row],[Poids unitaire brut (g)]]/1000</f>
        <v>0.19850000000000001</v>
      </c>
      <c r="F152" s="4"/>
      <c r="G152" s="4"/>
      <c r="H152" s="4"/>
    </row>
    <row r="153" spans="1:8" x14ac:dyDescent="0.25">
      <c r="A153" t="s">
        <v>284</v>
      </c>
      <c r="B153" t="s">
        <v>285</v>
      </c>
      <c r="C153" s="2" t="s">
        <v>9</v>
      </c>
      <c r="D153" s="4">
        <v>198.5</v>
      </c>
      <c r="E153" s="69">
        <f>Table1[[#This Row],[Poids unitaire brut (g)]]/1000</f>
        <v>0.19850000000000001</v>
      </c>
      <c r="F153" s="4"/>
      <c r="G153" s="4"/>
      <c r="H153" s="4"/>
    </row>
    <row r="154" spans="1:8" x14ac:dyDescent="0.25">
      <c r="A154" t="s">
        <v>286</v>
      </c>
      <c r="B154" t="s">
        <v>287</v>
      </c>
      <c r="C154" s="2" t="s">
        <v>9</v>
      </c>
      <c r="D154" s="4">
        <f t="shared" ref="D154:D159" si="21">85.5+140</f>
        <v>225.5</v>
      </c>
      <c r="E154" s="69">
        <f>Table1[[#This Row],[Poids unitaire brut (g)]]/1000</f>
        <v>0.22550000000000001</v>
      </c>
      <c r="F154" s="4"/>
      <c r="G154" s="4"/>
      <c r="H154" s="4"/>
    </row>
    <row r="155" spans="1:8" x14ac:dyDescent="0.25">
      <c r="A155" t="s">
        <v>288</v>
      </c>
      <c r="B155" t="s">
        <v>289</v>
      </c>
      <c r="C155" s="2" t="s">
        <v>9</v>
      </c>
      <c r="D155" s="4">
        <f t="shared" si="21"/>
        <v>225.5</v>
      </c>
      <c r="E155" s="69">
        <f>Table1[[#This Row],[Poids unitaire brut (g)]]/1000</f>
        <v>0.22550000000000001</v>
      </c>
      <c r="F155" s="4"/>
      <c r="G155" s="4"/>
      <c r="H155" s="4"/>
    </row>
    <row r="156" spans="1:8" x14ac:dyDescent="0.25">
      <c r="A156" t="s">
        <v>290</v>
      </c>
      <c r="B156" t="s">
        <v>291</v>
      </c>
      <c r="C156" s="2" t="s">
        <v>9</v>
      </c>
      <c r="D156" s="4">
        <f t="shared" si="21"/>
        <v>225.5</v>
      </c>
      <c r="E156" s="69">
        <f>Table1[[#This Row],[Poids unitaire brut (g)]]/1000</f>
        <v>0.22550000000000001</v>
      </c>
      <c r="F156" s="4"/>
      <c r="G156" s="4"/>
      <c r="H156" s="4"/>
    </row>
    <row r="157" spans="1:8" x14ac:dyDescent="0.25">
      <c r="A157" t="s">
        <v>292</v>
      </c>
      <c r="B157" t="s">
        <v>293</v>
      </c>
      <c r="C157" s="2" t="s">
        <v>9</v>
      </c>
      <c r="D157" s="4">
        <f t="shared" si="21"/>
        <v>225.5</v>
      </c>
      <c r="E157" s="69">
        <f>Table1[[#This Row],[Poids unitaire brut (g)]]/1000</f>
        <v>0.22550000000000001</v>
      </c>
      <c r="F157" s="4"/>
      <c r="G157" s="4"/>
      <c r="H157" s="4"/>
    </row>
    <row r="158" spans="1:8" x14ac:dyDescent="0.25">
      <c r="A158" t="s">
        <v>294</v>
      </c>
      <c r="B158" t="s">
        <v>295</v>
      </c>
      <c r="C158" s="2" t="s">
        <v>9</v>
      </c>
      <c r="D158" s="4">
        <f t="shared" si="21"/>
        <v>225.5</v>
      </c>
      <c r="E158" s="69">
        <f>Table1[[#This Row],[Poids unitaire brut (g)]]/1000</f>
        <v>0.22550000000000001</v>
      </c>
      <c r="F158" s="4"/>
      <c r="G158" s="4"/>
      <c r="H158" s="4"/>
    </row>
    <row r="159" spans="1:8" x14ac:dyDescent="0.25">
      <c r="A159" t="s">
        <v>296</v>
      </c>
      <c r="B159" t="s">
        <v>297</v>
      </c>
      <c r="C159" s="2" t="s">
        <v>9</v>
      </c>
      <c r="D159" s="4">
        <f t="shared" si="21"/>
        <v>225.5</v>
      </c>
      <c r="E159" s="69">
        <f>Table1[[#This Row],[Poids unitaire brut (g)]]/1000</f>
        <v>0.22550000000000001</v>
      </c>
      <c r="F159" s="4"/>
      <c r="G159" s="4"/>
      <c r="H15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D062-99DD-49A6-BD3F-871A6744FC8D}">
  <dimension ref="A1:F21"/>
  <sheetViews>
    <sheetView tabSelected="1" topLeftCell="A9" workbookViewId="0">
      <selection activeCell="D17" sqref="D17"/>
    </sheetView>
  </sheetViews>
  <sheetFormatPr baseColWidth="10" defaultColWidth="11.42578125" defaultRowHeight="15" x14ac:dyDescent="0.25"/>
  <cols>
    <col min="1" max="1" width="42.42578125" customWidth="1"/>
    <col min="3" max="4" width="43.42578125" customWidth="1"/>
    <col min="5" max="5" width="21.7109375" customWidth="1"/>
    <col min="6" max="6" width="20" customWidth="1"/>
  </cols>
  <sheetData>
    <row r="1" spans="1:6" ht="21" x14ac:dyDescent="0.25">
      <c r="A1" s="74" t="s">
        <v>298</v>
      </c>
      <c r="B1" s="75"/>
      <c r="C1" s="75"/>
      <c r="D1" s="75"/>
      <c r="E1" s="75"/>
      <c r="F1" s="76"/>
    </row>
    <row r="2" spans="1:6" ht="27.75" customHeight="1" x14ac:dyDescent="0.25">
      <c r="A2" s="12" t="s">
        <v>299</v>
      </c>
      <c r="B2" s="13" t="s">
        <v>300</v>
      </c>
      <c r="C2" s="13" t="s">
        <v>301</v>
      </c>
      <c r="D2" s="13" t="s">
        <v>302</v>
      </c>
      <c r="E2" s="13" t="s">
        <v>303</v>
      </c>
      <c r="F2" s="13" t="s">
        <v>304</v>
      </c>
    </row>
    <row r="3" spans="1:6" ht="24" customHeight="1" x14ac:dyDescent="0.3">
      <c r="A3" s="7" t="s">
        <v>305</v>
      </c>
      <c r="B3" s="8">
        <v>110</v>
      </c>
      <c r="C3" s="8" t="s">
        <v>306</v>
      </c>
      <c r="D3" s="8" t="s">
        <v>307</v>
      </c>
      <c r="E3" s="8" t="s">
        <v>308</v>
      </c>
      <c r="F3" s="9" t="s">
        <v>309</v>
      </c>
    </row>
    <row r="4" spans="1:6" ht="24" customHeight="1" x14ac:dyDescent="0.3">
      <c r="A4" s="7" t="s">
        <v>310</v>
      </c>
      <c r="B4" s="8">
        <v>38</v>
      </c>
      <c r="C4" s="8" t="s">
        <v>306</v>
      </c>
      <c r="D4" s="8" t="s">
        <v>311</v>
      </c>
      <c r="E4" s="8" t="s">
        <v>308</v>
      </c>
      <c r="F4" s="9" t="s">
        <v>309</v>
      </c>
    </row>
    <row r="5" spans="1:6" ht="24" customHeight="1" x14ac:dyDescent="0.3">
      <c r="A5" s="7" t="s">
        <v>312</v>
      </c>
      <c r="B5" s="8">
        <v>25.5</v>
      </c>
      <c r="C5" s="8" t="s">
        <v>306</v>
      </c>
      <c r="D5" s="8" t="s">
        <v>313</v>
      </c>
      <c r="E5" s="8" t="s">
        <v>308</v>
      </c>
      <c r="F5" s="9" t="s">
        <v>309</v>
      </c>
    </row>
    <row r="6" spans="1:6" ht="24" customHeight="1" x14ac:dyDescent="0.3">
      <c r="A6" s="7" t="s">
        <v>314</v>
      </c>
      <c r="B6" s="8">
        <v>185</v>
      </c>
      <c r="C6" s="8" t="s">
        <v>306</v>
      </c>
      <c r="D6" s="8" t="s">
        <v>315</v>
      </c>
      <c r="E6" s="8" t="s">
        <v>308</v>
      </c>
      <c r="F6" s="9" t="s">
        <v>309</v>
      </c>
    </row>
    <row r="7" spans="1:6" ht="24" customHeight="1" x14ac:dyDescent="0.3">
      <c r="A7" s="7" t="s">
        <v>316</v>
      </c>
      <c r="B7" s="8">
        <v>26</v>
      </c>
      <c r="C7" s="8" t="s">
        <v>306</v>
      </c>
      <c r="D7" s="8" t="s">
        <v>317</v>
      </c>
      <c r="E7" s="8" t="s">
        <v>308</v>
      </c>
      <c r="F7" s="9" t="s">
        <v>309</v>
      </c>
    </row>
    <row r="8" spans="1:6" ht="45" customHeight="1" x14ac:dyDescent="0.25">
      <c r="A8" s="10" t="s">
        <v>318</v>
      </c>
      <c r="B8" s="9">
        <v>150</v>
      </c>
      <c r="C8" s="11" t="s">
        <v>319</v>
      </c>
      <c r="D8" s="9"/>
      <c r="E8" s="11" t="s">
        <v>320</v>
      </c>
      <c r="F8" s="9" t="s">
        <v>309</v>
      </c>
    </row>
    <row r="9" spans="1:6" ht="45" customHeight="1" x14ac:dyDescent="0.25">
      <c r="A9" s="10" t="s">
        <v>321</v>
      </c>
      <c r="B9" s="9">
        <v>176</v>
      </c>
      <c r="C9" s="11" t="s">
        <v>322</v>
      </c>
      <c r="D9" s="9" t="s">
        <v>323</v>
      </c>
      <c r="E9" s="11" t="s">
        <v>320</v>
      </c>
      <c r="F9" s="9" t="s">
        <v>309</v>
      </c>
    </row>
    <row r="10" spans="1:6" ht="28.5" customHeight="1" x14ac:dyDescent="0.25">
      <c r="A10" s="10" t="s">
        <v>324</v>
      </c>
      <c r="B10" s="9">
        <v>3</v>
      </c>
      <c r="C10" s="9" t="s">
        <v>325</v>
      </c>
      <c r="D10" s="9" t="s">
        <v>326</v>
      </c>
      <c r="E10" s="9" t="s">
        <v>327</v>
      </c>
      <c r="F10" s="9" t="s">
        <v>328</v>
      </c>
    </row>
    <row r="11" spans="1:6" ht="18.75" x14ac:dyDescent="0.3">
      <c r="A11" s="7" t="s">
        <v>329</v>
      </c>
      <c r="B11" s="9">
        <v>5.5</v>
      </c>
      <c r="C11" s="9" t="s">
        <v>325</v>
      </c>
      <c r="D11" s="14" t="s">
        <v>330</v>
      </c>
      <c r="E11" s="8" t="s">
        <v>327</v>
      </c>
      <c r="F11" s="9" t="s">
        <v>328</v>
      </c>
    </row>
    <row r="12" spans="1:6" ht="18.75" x14ac:dyDescent="0.3">
      <c r="A12" s="7" t="s">
        <v>331</v>
      </c>
      <c r="B12" s="8">
        <v>2.5</v>
      </c>
      <c r="C12" s="9" t="s">
        <v>332</v>
      </c>
      <c r="D12" s="8" t="s">
        <v>333</v>
      </c>
      <c r="E12" s="8" t="s">
        <v>334</v>
      </c>
      <c r="F12" s="9" t="s">
        <v>309</v>
      </c>
    </row>
    <row r="14" spans="1:6" ht="18.75" x14ac:dyDescent="0.25">
      <c r="A14" s="77" t="s">
        <v>335</v>
      </c>
      <c r="B14" s="78"/>
      <c r="C14" s="78"/>
      <c r="D14" s="78"/>
      <c r="E14" s="78"/>
      <c r="F14" s="79"/>
    </row>
    <row r="15" spans="1:6" ht="18.75" x14ac:dyDescent="0.25">
      <c r="A15" s="12" t="s">
        <v>299</v>
      </c>
      <c r="B15" s="13" t="s">
        <v>300</v>
      </c>
      <c r="C15" s="13" t="s">
        <v>301</v>
      </c>
      <c r="D15" s="13" t="s">
        <v>302</v>
      </c>
      <c r="E15" s="13" t="s">
        <v>303</v>
      </c>
      <c r="F15" s="13" t="s">
        <v>304</v>
      </c>
    </row>
    <row r="16" spans="1:6" ht="18.75" x14ac:dyDescent="0.3">
      <c r="A16" s="10" t="s">
        <v>336</v>
      </c>
      <c r="B16" s="9" t="s">
        <v>337</v>
      </c>
      <c r="C16" s="9" t="s">
        <v>306</v>
      </c>
      <c r="D16" s="15" t="s">
        <v>338</v>
      </c>
      <c r="E16" s="9" t="s">
        <v>339</v>
      </c>
      <c r="F16" s="9" t="s">
        <v>309</v>
      </c>
    </row>
    <row r="17" spans="1:6" ht="37.5" x14ac:dyDescent="0.3">
      <c r="A17" s="10" t="s">
        <v>340</v>
      </c>
      <c r="B17" s="9">
        <v>346</v>
      </c>
      <c r="C17" s="9" t="s">
        <v>306</v>
      </c>
      <c r="D17" s="15" t="s">
        <v>341</v>
      </c>
      <c r="E17" s="9" t="s">
        <v>339</v>
      </c>
      <c r="F17" s="9" t="s">
        <v>309</v>
      </c>
    </row>
    <row r="18" spans="1:6" ht="18.75" x14ac:dyDescent="0.3">
      <c r="A18" s="7" t="s">
        <v>342</v>
      </c>
      <c r="B18" s="8">
        <v>26</v>
      </c>
      <c r="C18" s="9" t="s">
        <v>306</v>
      </c>
      <c r="D18" s="8" t="s">
        <v>343</v>
      </c>
      <c r="E18" s="9" t="s">
        <v>339</v>
      </c>
      <c r="F18" s="9" t="s">
        <v>309</v>
      </c>
    </row>
    <row r="19" spans="1:6" ht="18.75" x14ac:dyDescent="0.3">
      <c r="A19" s="7" t="s">
        <v>344</v>
      </c>
      <c r="B19" s="8">
        <v>17</v>
      </c>
      <c r="C19" s="9" t="s">
        <v>306</v>
      </c>
      <c r="D19" s="8" t="s">
        <v>345</v>
      </c>
      <c r="E19" s="9" t="s">
        <v>339</v>
      </c>
      <c r="F19" s="9" t="s">
        <v>309</v>
      </c>
    </row>
    <row r="20" spans="1:6" ht="18.75" x14ac:dyDescent="0.3">
      <c r="A20" s="7" t="s">
        <v>346</v>
      </c>
      <c r="B20" s="8">
        <v>10000</v>
      </c>
      <c r="C20" s="8" t="s">
        <v>347</v>
      </c>
      <c r="D20" s="8" t="s">
        <v>348</v>
      </c>
      <c r="E20" s="9" t="s">
        <v>349</v>
      </c>
      <c r="F20" s="9" t="s">
        <v>309</v>
      </c>
    </row>
    <row r="21" spans="1:6" ht="18.75" x14ac:dyDescent="0.3">
      <c r="A21" s="7" t="s">
        <v>350</v>
      </c>
      <c r="B21" s="8">
        <v>25000</v>
      </c>
      <c r="C21" s="8" t="s">
        <v>347</v>
      </c>
      <c r="D21" s="8" t="s">
        <v>351</v>
      </c>
      <c r="E21" s="9" t="s">
        <v>349</v>
      </c>
      <c r="F21" s="9" t="s">
        <v>309</v>
      </c>
    </row>
  </sheetData>
  <mergeCells count="2">
    <mergeCell ref="A1:F1"/>
    <mergeCell ref="A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3184-25A7-407B-AEC3-F35505225080}">
  <dimension ref="A1:R162"/>
  <sheetViews>
    <sheetView workbookViewId="0">
      <selection activeCell="E92" sqref="E92"/>
    </sheetView>
  </sheetViews>
  <sheetFormatPr baseColWidth="10" defaultColWidth="11.42578125" defaultRowHeight="15" x14ac:dyDescent="0.25"/>
  <cols>
    <col min="1" max="1" width="37.5703125" customWidth="1"/>
    <col min="2" max="2" width="27" customWidth="1"/>
    <col min="3" max="3" width="15.28515625" style="3" customWidth="1"/>
    <col min="4" max="4" width="17.5703125" style="3" bestFit="1" customWidth="1"/>
    <col min="5" max="5" width="27.140625" style="3" customWidth="1"/>
    <col min="6" max="6" width="15.5703125" style="3" customWidth="1"/>
    <col min="7" max="7" width="17.5703125" style="3" bestFit="1" customWidth="1"/>
    <col min="8" max="8" width="14.42578125" style="3" bestFit="1" customWidth="1"/>
    <col min="9" max="9" width="17.5703125" style="3" bestFit="1" customWidth="1"/>
    <col min="10" max="10" width="31" style="3" customWidth="1"/>
    <col min="11" max="11" width="14.42578125" style="3" hidden="1" customWidth="1"/>
    <col min="12" max="12" width="17.5703125" style="3" hidden="1" customWidth="1"/>
    <col min="13" max="13" width="14.42578125" style="3" hidden="1" customWidth="1"/>
    <col min="14" max="14" width="17.5703125" style="3" hidden="1" customWidth="1"/>
    <col min="15" max="15" width="14.42578125" bestFit="1" customWidth="1"/>
    <col min="16" max="16" width="17.5703125" bestFit="1" customWidth="1"/>
    <col min="17" max="17" width="14.42578125" bestFit="1" customWidth="1"/>
    <col min="18" max="18" width="17.5703125" bestFit="1" customWidth="1"/>
  </cols>
  <sheetData>
    <row r="1" spans="1:18" ht="21" customHeight="1" x14ac:dyDescent="0.25">
      <c r="A1" s="100" t="s">
        <v>352</v>
      </c>
      <c r="B1" s="100"/>
    </row>
    <row r="2" spans="1:18" ht="117" customHeight="1" thickBot="1" x14ac:dyDescent="0.3">
      <c r="A2" s="100"/>
      <c r="B2" s="100"/>
    </row>
    <row r="3" spans="1:18" ht="15.75" thickBot="1" x14ac:dyDescent="0.3">
      <c r="C3" s="80" t="s">
        <v>353</v>
      </c>
      <c r="D3" s="81"/>
      <c r="E3" s="82"/>
      <c r="F3" s="80" t="s">
        <v>354</v>
      </c>
      <c r="G3" s="82"/>
      <c r="H3" s="80" t="s">
        <v>355</v>
      </c>
      <c r="I3" s="82"/>
      <c r="J3" s="54" t="s">
        <v>356</v>
      </c>
      <c r="K3" s="80" t="s">
        <v>357</v>
      </c>
      <c r="L3" s="81"/>
      <c r="M3" s="81"/>
      <c r="N3" s="81"/>
      <c r="O3" s="97" t="s">
        <v>358</v>
      </c>
      <c r="P3" s="98"/>
      <c r="Q3" s="98"/>
      <c r="R3" s="99"/>
    </row>
    <row r="4" spans="1:18" ht="15.75" thickBot="1" x14ac:dyDescent="0.3">
      <c r="B4" s="16" t="s">
        <v>359</v>
      </c>
      <c r="C4" s="86" t="s">
        <v>313</v>
      </c>
      <c r="D4" s="86"/>
      <c r="E4" s="17" t="s">
        <v>317</v>
      </c>
      <c r="F4" s="86" t="s">
        <v>311</v>
      </c>
      <c r="G4" s="86"/>
      <c r="H4" s="86" t="s">
        <v>307</v>
      </c>
      <c r="I4" s="86"/>
      <c r="J4" s="17" t="s">
        <v>315</v>
      </c>
      <c r="K4" s="86" t="s">
        <v>426</v>
      </c>
      <c r="L4" s="86"/>
      <c r="M4" s="86"/>
      <c r="N4" s="86"/>
      <c r="O4" s="86" t="s">
        <v>341</v>
      </c>
      <c r="P4" s="86"/>
      <c r="Q4" s="86"/>
      <c r="R4" s="86"/>
    </row>
    <row r="5" spans="1:18" x14ac:dyDescent="0.25">
      <c r="A5" s="18" t="s">
        <v>360</v>
      </c>
      <c r="C5" s="19" t="s">
        <v>361</v>
      </c>
      <c r="D5" s="19" t="s">
        <v>362</v>
      </c>
      <c r="E5" s="20" t="s">
        <v>363</v>
      </c>
      <c r="F5" s="19" t="s">
        <v>361</v>
      </c>
      <c r="G5" s="19" t="s">
        <v>362</v>
      </c>
      <c r="H5" s="19" t="s">
        <v>361</v>
      </c>
      <c r="I5" s="21" t="s">
        <v>362</v>
      </c>
      <c r="J5" s="20" t="s">
        <v>362</v>
      </c>
      <c r="K5" s="89" t="s">
        <v>354</v>
      </c>
      <c r="L5" s="90"/>
      <c r="M5" s="89" t="s">
        <v>355</v>
      </c>
      <c r="N5" s="90"/>
      <c r="O5" s="91" t="s">
        <v>354</v>
      </c>
      <c r="P5" s="92"/>
      <c r="Q5" s="91" t="s">
        <v>355</v>
      </c>
      <c r="R5" s="93"/>
    </row>
    <row r="6" spans="1:18" x14ac:dyDescent="0.25">
      <c r="A6" s="18"/>
      <c r="C6" s="22"/>
      <c r="D6" s="22"/>
      <c r="E6" s="22"/>
      <c r="F6" s="22"/>
      <c r="G6" s="22"/>
      <c r="H6" s="22"/>
      <c r="I6" s="23"/>
      <c r="J6" s="24"/>
      <c r="K6" s="22" t="s">
        <v>361</v>
      </c>
      <c r="L6" s="22" t="s">
        <v>362</v>
      </c>
      <c r="M6" s="22" t="s">
        <v>361</v>
      </c>
      <c r="N6" s="22" t="s">
        <v>362</v>
      </c>
      <c r="O6" s="22" t="s">
        <v>361</v>
      </c>
      <c r="P6" s="22" t="s">
        <v>362</v>
      </c>
      <c r="Q6" s="22" t="s">
        <v>361</v>
      </c>
      <c r="R6" s="22" t="s">
        <v>362</v>
      </c>
    </row>
    <row r="7" spans="1:18" x14ac:dyDescent="0.25">
      <c r="B7" s="25" t="s">
        <v>364</v>
      </c>
      <c r="C7" s="17">
        <v>125</v>
      </c>
      <c r="D7" s="17">
        <v>125</v>
      </c>
      <c r="E7" s="17">
        <v>140</v>
      </c>
      <c r="F7" s="26">
        <v>125</v>
      </c>
      <c r="G7" s="26">
        <v>125</v>
      </c>
      <c r="H7" s="26">
        <v>125</v>
      </c>
      <c r="I7" s="27">
        <v>125</v>
      </c>
      <c r="J7" s="28"/>
      <c r="K7" s="29">
        <v>125</v>
      </c>
      <c r="L7" s="26">
        <v>125</v>
      </c>
      <c r="M7" s="26">
        <v>125</v>
      </c>
      <c r="N7" s="26">
        <v>125</v>
      </c>
      <c r="O7" s="26">
        <v>125</v>
      </c>
      <c r="P7" s="26">
        <v>125</v>
      </c>
      <c r="Q7" s="26">
        <v>125</v>
      </c>
      <c r="R7" s="26">
        <v>125</v>
      </c>
    </row>
    <row r="8" spans="1:18" x14ac:dyDescent="0.25">
      <c r="B8" s="25" t="s">
        <v>365</v>
      </c>
      <c r="C8" s="17">
        <v>198.5</v>
      </c>
      <c r="D8" s="30">
        <v>135.30000000000001</v>
      </c>
      <c r="E8" s="17">
        <v>225.5</v>
      </c>
      <c r="F8" s="17">
        <v>198.5</v>
      </c>
      <c r="G8" s="30">
        <v>135.30000000000001</v>
      </c>
      <c r="H8" s="17">
        <v>198.5</v>
      </c>
      <c r="I8" s="30">
        <v>135.30000000000001</v>
      </c>
      <c r="J8" s="31"/>
      <c r="K8" s="17">
        <v>198.5</v>
      </c>
      <c r="L8" s="30">
        <v>135.30000000000001</v>
      </c>
      <c r="M8" s="17">
        <v>198.5</v>
      </c>
      <c r="N8" s="30">
        <v>135.30000000000001</v>
      </c>
      <c r="O8" s="17">
        <v>198.5</v>
      </c>
      <c r="P8" s="30">
        <v>135.30000000000001</v>
      </c>
      <c r="Q8" s="17">
        <v>198.5</v>
      </c>
      <c r="R8" s="30">
        <v>135.30000000000001</v>
      </c>
    </row>
    <row r="9" spans="1:18" x14ac:dyDescent="0.25">
      <c r="B9" s="32" t="s">
        <v>366</v>
      </c>
      <c r="C9" s="26">
        <v>6</v>
      </c>
      <c r="D9" s="26">
        <v>6</v>
      </c>
      <c r="E9" s="26">
        <v>6</v>
      </c>
      <c r="F9" s="26">
        <v>12</v>
      </c>
      <c r="G9" s="26">
        <v>12</v>
      </c>
      <c r="H9" s="26">
        <v>24</v>
      </c>
      <c r="I9" s="27">
        <v>24</v>
      </c>
      <c r="J9" s="28"/>
      <c r="K9" s="29">
        <v>12</v>
      </c>
      <c r="L9" s="26">
        <v>12</v>
      </c>
      <c r="M9" s="26">
        <v>24</v>
      </c>
      <c r="N9" s="26">
        <v>24</v>
      </c>
      <c r="O9" s="26">
        <v>12</v>
      </c>
      <c r="P9" s="26">
        <v>12</v>
      </c>
      <c r="Q9" s="26">
        <v>24</v>
      </c>
      <c r="R9" s="26">
        <v>24</v>
      </c>
    </row>
    <row r="10" spans="1:18" x14ac:dyDescent="0.25">
      <c r="B10" s="16" t="s">
        <v>367</v>
      </c>
      <c r="C10" s="26">
        <f>C7*C9</f>
        <v>750</v>
      </c>
      <c r="D10" s="26">
        <f t="shared" ref="D10:R10" si="0">D7*D9</f>
        <v>750</v>
      </c>
      <c r="E10" s="26">
        <f t="shared" si="0"/>
        <v>840</v>
      </c>
      <c r="F10" s="26">
        <f t="shared" si="0"/>
        <v>1500</v>
      </c>
      <c r="G10" s="26">
        <f t="shared" si="0"/>
        <v>1500</v>
      </c>
      <c r="H10" s="26">
        <f t="shared" si="0"/>
        <v>3000</v>
      </c>
      <c r="I10" s="26">
        <f t="shared" si="0"/>
        <v>3000</v>
      </c>
      <c r="J10" s="28"/>
      <c r="K10" s="29">
        <f t="shared" si="0"/>
        <v>1500</v>
      </c>
      <c r="L10" s="29">
        <f t="shared" si="0"/>
        <v>1500</v>
      </c>
      <c r="M10" s="29">
        <f t="shared" si="0"/>
        <v>3000</v>
      </c>
      <c r="N10" s="29">
        <f t="shared" si="0"/>
        <v>3000</v>
      </c>
      <c r="O10" s="29">
        <f t="shared" si="0"/>
        <v>1500</v>
      </c>
      <c r="P10" s="29">
        <f t="shared" si="0"/>
        <v>1500</v>
      </c>
      <c r="Q10" s="29">
        <f t="shared" si="0"/>
        <v>3000</v>
      </c>
      <c r="R10" s="29">
        <f t="shared" si="0"/>
        <v>3000</v>
      </c>
    </row>
    <row r="11" spans="1:18" x14ac:dyDescent="0.25">
      <c r="B11" s="32" t="s">
        <v>368</v>
      </c>
      <c r="C11" s="33">
        <v>1216.5</v>
      </c>
      <c r="D11" s="34">
        <v>837.30000000000007</v>
      </c>
      <c r="E11" s="33">
        <v>1379</v>
      </c>
      <c r="F11" s="33">
        <v>2420</v>
      </c>
      <c r="G11" s="34">
        <v>1661.6000000000001</v>
      </c>
      <c r="H11" s="33">
        <v>4874</v>
      </c>
      <c r="I11" s="34">
        <v>3357.2000000000003</v>
      </c>
      <c r="J11" s="28"/>
      <c r="K11" s="29">
        <v>2420</v>
      </c>
      <c r="L11" s="35">
        <v>1661.6000000000001</v>
      </c>
      <c r="M11" s="26">
        <v>4874</v>
      </c>
      <c r="N11" s="35">
        <v>3357.2000000000003</v>
      </c>
      <c r="O11" s="26">
        <v>2420</v>
      </c>
      <c r="P11" s="35">
        <v>1661.6000000000001</v>
      </c>
      <c r="Q11" s="26">
        <v>4874</v>
      </c>
      <c r="R11" s="35">
        <v>3357.2000000000003</v>
      </c>
    </row>
    <row r="12" spans="1:18" x14ac:dyDescent="0.25">
      <c r="B12" s="36" t="s">
        <v>369</v>
      </c>
      <c r="C12" s="28"/>
      <c r="D12" s="28"/>
      <c r="E12" s="28"/>
      <c r="F12" s="28"/>
      <c r="G12" s="28"/>
      <c r="H12" s="28"/>
      <c r="I12" s="28"/>
      <c r="J12" s="28"/>
      <c r="K12" s="29">
        <v>12</v>
      </c>
      <c r="L12" s="26">
        <v>12</v>
      </c>
      <c r="M12" s="26">
        <v>6</v>
      </c>
      <c r="N12" s="26">
        <v>6</v>
      </c>
      <c r="O12" s="29">
        <v>6</v>
      </c>
      <c r="P12" s="29">
        <v>6</v>
      </c>
      <c r="Q12" s="37">
        <v>3</v>
      </c>
      <c r="R12" s="26">
        <v>3</v>
      </c>
    </row>
    <row r="13" spans="1:18" x14ac:dyDescent="0.25">
      <c r="B13" s="36" t="s">
        <v>370</v>
      </c>
      <c r="C13" s="28"/>
      <c r="D13" s="28"/>
      <c r="E13" s="28"/>
      <c r="F13" s="28"/>
      <c r="G13" s="28"/>
      <c r="H13" s="28"/>
      <c r="I13" s="28"/>
      <c r="J13" s="28"/>
      <c r="K13" s="29">
        <v>144</v>
      </c>
      <c r="L13" s="26">
        <v>144</v>
      </c>
      <c r="M13" s="26">
        <v>144</v>
      </c>
      <c r="N13" s="26">
        <v>144</v>
      </c>
      <c r="O13" s="29">
        <v>72</v>
      </c>
      <c r="P13" s="29">
        <v>72</v>
      </c>
      <c r="Q13" s="26">
        <v>72</v>
      </c>
      <c r="R13" s="26">
        <v>72</v>
      </c>
    </row>
    <row r="14" spans="1:18" x14ac:dyDescent="0.25">
      <c r="B14" s="36" t="s">
        <v>371</v>
      </c>
      <c r="C14" s="28"/>
      <c r="D14" s="28"/>
      <c r="E14" s="28"/>
      <c r="F14" s="28"/>
      <c r="G14" s="28"/>
      <c r="H14" s="28"/>
      <c r="I14" s="28"/>
      <c r="J14" s="28"/>
      <c r="K14" s="29">
        <f t="shared" ref="K14:R14" si="1">(K12*K10)/1000</f>
        <v>18</v>
      </c>
      <c r="L14" s="26">
        <f t="shared" si="1"/>
        <v>18</v>
      </c>
      <c r="M14" s="26">
        <f t="shared" si="1"/>
        <v>18</v>
      </c>
      <c r="N14" s="26">
        <f t="shared" si="1"/>
        <v>18</v>
      </c>
      <c r="O14" s="26">
        <f t="shared" si="1"/>
        <v>9</v>
      </c>
      <c r="P14" s="26">
        <f t="shared" si="1"/>
        <v>9</v>
      </c>
      <c r="Q14" s="26">
        <f t="shared" si="1"/>
        <v>9</v>
      </c>
      <c r="R14" s="26">
        <f t="shared" si="1"/>
        <v>9</v>
      </c>
    </row>
    <row r="15" spans="1:18" x14ac:dyDescent="0.25">
      <c r="B15" s="36" t="s">
        <v>372</v>
      </c>
      <c r="C15" s="28"/>
      <c r="D15" s="28"/>
      <c r="E15" s="28"/>
      <c r="F15" s="28"/>
      <c r="G15" s="28"/>
      <c r="H15" s="28"/>
      <c r="I15" s="28"/>
      <c r="J15" s="28"/>
      <c r="K15" s="38">
        <v>29.568999999999999</v>
      </c>
      <c r="L15" s="35">
        <v>20.4682</v>
      </c>
      <c r="M15" s="35">
        <v>29.773</v>
      </c>
      <c r="N15" s="35">
        <v>20.6722</v>
      </c>
      <c r="O15" s="34">
        <v>14.866</v>
      </c>
      <c r="P15" s="34">
        <v>10.3156</v>
      </c>
      <c r="Q15" s="34">
        <v>14.968</v>
      </c>
      <c r="R15" s="34">
        <v>10.4176</v>
      </c>
    </row>
    <row r="16" spans="1:18" x14ac:dyDescent="0.25">
      <c r="B16" s="16" t="s">
        <v>373</v>
      </c>
      <c r="C16" s="37">
        <v>36</v>
      </c>
      <c r="D16" s="37">
        <v>36</v>
      </c>
      <c r="E16" s="37">
        <v>36</v>
      </c>
      <c r="F16" s="37">
        <v>18</v>
      </c>
      <c r="G16" s="37">
        <v>18</v>
      </c>
      <c r="H16" s="37">
        <v>9</v>
      </c>
      <c r="I16" s="39">
        <v>9</v>
      </c>
      <c r="J16" s="28"/>
      <c r="K16" s="29">
        <v>4</v>
      </c>
      <c r="L16" s="26">
        <v>4</v>
      </c>
      <c r="M16" s="26">
        <v>4</v>
      </c>
      <c r="N16" s="27">
        <v>4</v>
      </c>
      <c r="O16" s="40"/>
      <c r="P16" s="40"/>
      <c r="Q16" s="40"/>
      <c r="R16" s="40"/>
    </row>
    <row r="17" spans="1:18" x14ac:dyDescent="0.25">
      <c r="B17" s="16" t="s">
        <v>374</v>
      </c>
      <c r="C17" s="26">
        <v>10</v>
      </c>
      <c r="D17" s="26">
        <v>10</v>
      </c>
      <c r="E17" s="26">
        <v>10</v>
      </c>
      <c r="F17" s="26">
        <v>12</v>
      </c>
      <c r="G17" s="26">
        <v>12</v>
      </c>
      <c r="H17" s="26">
        <v>12</v>
      </c>
      <c r="I17" s="27">
        <v>12</v>
      </c>
      <c r="J17" s="28"/>
      <c r="K17" s="29">
        <v>4</v>
      </c>
      <c r="L17" s="26">
        <v>4</v>
      </c>
      <c r="M17" s="26">
        <v>4</v>
      </c>
      <c r="N17" s="27">
        <v>4</v>
      </c>
      <c r="O17" s="40"/>
      <c r="P17" s="40"/>
      <c r="Q17" s="40"/>
      <c r="R17" s="40"/>
    </row>
    <row r="18" spans="1:18" x14ac:dyDescent="0.25">
      <c r="B18" s="16" t="s">
        <v>375</v>
      </c>
      <c r="C18" s="70">
        <f>C16*C17</f>
        <v>360</v>
      </c>
      <c r="D18" s="70">
        <f>D16*D17</f>
        <v>360</v>
      </c>
      <c r="E18" s="70">
        <f>E16*E17</f>
        <v>360</v>
      </c>
      <c r="F18" s="70">
        <f t="shared" ref="F18:I18" si="2">F16*F17</f>
        <v>216</v>
      </c>
      <c r="G18" s="70">
        <f t="shared" si="2"/>
        <v>216</v>
      </c>
      <c r="H18" s="70">
        <f t="shared" si="2"/>
        <v>108</v>
      </c>
      <c r="I18" s="71">
        <f t="shared" si="2"/>
        <v>108</v>
      </c>
      <c r="J18" s="28"/>
      <c r="K18" s="29">
        <f>K17*K16</f>
        <v>16</v>
      </c>
      <c r="L18" s="26">
        <f>L17*L16</f>
        <v>16</v>
      </c>
      <c r="M18" s="26">
        <f t="shared" ref="M18:N18" si="3">M17*M16</f>
        <v>16</v>
      </c>
      <c r="N18" s="26">
        <f t="shared" si="3"/>
        <v>16</v>
      </c>
      <c r="O18" s="40"/>
      <c r="P18" s="40"/>
      <c r="Q18" s="40"/>
      <c r="R18" s="40"/>
    </row>
    <row r="19" spans="1:18" x14ac:dyDescent="0.25">
      <c r="B19" s="16" t="s">
        <v>376</v>
      </c>
      <c r="C19" s="26">
        <f>(C18*C10)/1000</f>
        <v>270</v>
      </c>
      <c r="D19" s="26">
        <f>(D18*C10)/1000</f>
        <v>270</v>
      </c>
      <c r="E19" s="26">
        <f>(E18*E10)/1000</f>
        <v>302.39999999999998</v>
      </c>
      <c r="F19" s="26">
        <f>(F18*F10)/1000</f>
        <v>324</v>
      </c>
      <c r="G19" s="26">
        <f>(G18*F10)/1000</f>
        <v>324</v>
      </c>
      <c r="H19" s="26">
        <f>(H18*H10)/1000</f>
        <v>324</v>
      </c>
      <c r="I19" s="27">
        <f>(I18*I10)/1000</f>
        <v>324</v>
      </c>
      <c r="J19" s="28"/>
      <c r="K19" s="29">
        <f>(K14*K18)</f>
        <v>288</v>
      </c>
      <c r="L19" s="26">
        <f>(L14*L18)</f>
        <v>288</v>
      </c>
      <c r="M19" s="26">
        <f>(M14*M18)</f>
        <v>288</v>
      </c>
      <c r="N19" s="27">
        <f>(N14*N18)</f>
        <v>288</v>
      </c>
      <c r="O19" s="28"/>
      <c r="P19" s="28"/>
      <c r="Q19" s="28"/>
      <c r="R19" s="40"/>
    </row>
    <row r="20" spans="1:18" x14ac:dyDescent="0.25">
      <c r="B20" s="32" t="s">
        <v>377</v>
      </c>
      <c r="C20" s="35">
        <f>(25000+(C18*C11))/1000</f>
        <v>462.94</v>
      </c>
      <c r="D20" s="35">
        <f>(25000+(D18*D11))/1000</f>
        <v>326.428</v>
      </c>
      <c r="E20" s="35">
        <f>(25000+(E18*E11))/1000</f>
        <v>521.44000000000005</v>
      </c>
      <c r="F20" s="35">
        <f t="shared" ref="F20:I20" si="4">(25000+(F18*F11))/1000</f>
        <v>547.72</v>
      </c>
      <c r="G20" s="35">
        <f t="shared" si="4"/>
        <v>383.90560000000005</v>
      </c>
      <c r="H20" s="35">
        <f t="shared" si="4"/>
        <v>551.39200000000005</v>
      </c>
      <c r="I20" s="35">
        <f t="shared" si="4"/>
        <v>387.57760000000002</v>
      </c>
      <c r="J20" s="42"/>
      <c r="K20" s="38">
        <f>((K18*K15)+2.5)</f>
        <v>475.60399999999998</v>
      </c>
      <c r="L20" s="35">
        <f>((L18*L15)+2.5)</f>
        <v>329.99119999999999</v>
      </c>
      <c r="M20" s="35">
        <f>(M15*M18)+2.5</f>
        <v>478.86799999999999</v>
      </c>
      <c r="N20" s="41">
        <f>(N15*N18)+2.5</f>
        <v>333.2552</v>
      </c>
      <c r="O20" s="28"/>
      <c r="P20" s="28"/>
      <c r="Q20" s="28"/>
      <c r="R20" s="40"/>
    </row>
    <row r="22" spans="1:18" x14ac:dyDescent="0.25">
      <c r="A22" s="43" t="s">
        <v>378</v>
      </c>
    </row>
    <row r="23" spans="1:18" x14ac:dyDescent="0.25">
      <c r="A23" s="43"/>
      <c r="B23" s="55" t="s">
        <v>379</v>
      </c>
      <c r="C23" s="26">
        <v>250</v>
      </c>
      <c r="D23" s="27">
        <v>250</v>
      </c>
      <c r="E23" s="28"/>
      <c r="F23" s="29">
        <v>250</v>
      </c>
      <c r="G23" s="26">
        <v>250</v>
      </c>
      <c r="H23" s="26">
        <v>250</v>
      </c>
      <c r="I23" s="27">
        <v>250</v>
      </c>
      <c r="J23" s="28"/>
      <c r="K23" s="29">
        <v>250</v>
      </c>
      <c r="L23" s="26">
        <v>250</v>
      </c>
      <c r="M23" s="26">
        <v>250</v>
      </c>
      <c r="N23" s="26">
        <v>250</v>
      </c>
      <c r="O23" s="26">
        <v>250</v>
      </c>
      <c r="P23" s="26">
        <v>250</v>
      </c>
      <c r="Q23" s="26">
        <v>250</v>
      </c>
      <c r="R23" s="26">
        <v>250</v>
      </c>
    </row>
    <row r="24" spans="1:18" x14ac:dyDescent="0.25">
      <c r="A24" s="43"/>
      <c r="B24" s="44" t="s">
        <v>380</v>
      </c>
      <c r="C24" s="37">
        <v>400</v>
      </c>
      <c r="D24" s="56">
        <v>273.60000000000002</v>
      </c>
      <c r="E24" s="28"/>
      <c r="F24" s="45">
        <v>400</v>
      </c>
      <c r="G24" s="57">
        <v>273.60000000000002</v>
      </c>
      <c r="H24" s="37">
        <v>400</v>
      </c>
      <c r="I24" s="56">
        <v>273.60000000000002</v>
      </c>
      <c r="J24" s="28"/>
      <c r="K24" s="29">
        <v>400</v>
      </c>
      <c r="L24" s="35">
        <v>273.60000000000002</v>
      </c>
      <c r="M24" s="26">
        <v>400</v>
      </c>
      <c r="N24" s="35">
        <v>273.60000000000002</v>
      </c>
      <c r="O24" s="26">
        <v>400</v>
      </c>
      <c r="P24" s="35">
        <v>273.60000000000002</v>
      </c>
      <c r="Q24" s="26">
        <v>400</v>
      </c>
      <c r="R24" s="35">
        <v>273.60000000000002</v>
      </c>
    </row>
    <row r="25" spans="1:18" x14ac:dyDescent="0.25">
      <c r="B25" s="46" t="s">
        <v>366</v>
      </c>
      <c r="C25" s="26">
        <v>3</v>
      </c>
      <c r="D25" s="27">
        <v>3</v>
      </c>
      <c r="E25" s="28"/>
      <c r="F25" s="29">
        <v>6</v>
      </c>
      <c r="G25" s="26">
        <v>6</v>
      </c>
      <c r="H25" s="26">
        <v>12</v>
      </c>
      <c r="I25" s="27">
        <v>12</v>
      </c>
      <c r="J25" s="28"/>
      <c r="K25" s="29">
        <v>6</v>
      </c>
      <c r="L25" s="26">
        <v>6</v>
      </c>
      <c r="M25" s="26">
        <v>12</v>
      </c>
      <c r="N25" s="26">
        <v>12</v>
      </c>
      <c r="O25" s="26">
        <v>6</v>
      </c>
      <c r="P25" s="26">
        <v>6</v>
      </c>
      <c r="Q25" s="26">
        <v>12</v>
      </c>
      <c r="R25" s="26">
        <v>12</v>
      </c>
    </row>
    <row r="26" spans="1:18" x14ac:dyDescent="0.25">
      <c r="B26" s="16" t="s">
        <v>367</v>
      </c>
      <c r="C26" s="26">
        <v>750</v>
      </c>
      <c r="D26" s="27">
        <v>750</v>
      </c>
      <c r="E26" s="28"/>
      <c r="F26" s="29">
        <v>1500</v>
      </c>
      <c r="G26" s="26">
        <v>1500</v>
      </c>
      <c r="H26" s="29">
        <v>3000</v>
      </c>
      <c r="I26" s="27">
        <v>3000</v>
      </c>
      <c r="J26" s="28"/>
      <c r="K26" s="45">
        <f>K23*K25</f>
        <v>1500</v>
      </c>
      <c r="L26" s="37">
        <f>L23*L25</f>
        <v>1500</v>
      </c>
      <c r="M26" s="26">
        <v>3000</v>
      </c>
      <c r="N26" s="26">
        <v>3000</v>
      </c>
      <c r="O26" s="26">
        <v>1500</v>
      </c>
      <c r="P26" s="26">
        <v>1500</v>
      </c>
      <c r="Q26" s="26">
        <v>3000</v>
      </c>
      <c r="R26" s="26">
        <v>3000</v>
      </c>
    </row>
    <row r="27" spans="1:18" x14ac:dyDescent="0.25">
      <c r="B27" s="46" t="s">
        <v>368</v>
      </c>
      <c r="C27" s="33">
        <v>1225.5</v>
      </c>
      <c r="D27" s="58">
        <v>846.30000000000007</v>
      </c>
      <c r="E27" s="28"/>
      <c r="F27" s="47">
        <v>2438</v>
      </c>
      <c r="G27" s="34">
        <v>1679.6000000000001</v>
      </c>
      <c r="H27" s="33">
        <v>4910</v>
      </c>
      <c r="I27" s="58">
        <v>3393.2000000000003</v>
      </c>
      <c r="J27" s="28"/>
      <c r="K27" s="47">
        <v>2438</v>
      </c>
      <c r="L27" s="34">
        <v>1679.6000000000001</v>
      </c>
      <c r="M27" s="26">
        <v>4910</v>
      </c>
      <c r="N27" s="35">
        <v>3393.2000000000003</v>
      </c>
      <c r="O27" s="26">
        <v>2438</v>
      </c>
      <c r="P27" s="35">
        <v>1679.6000000000001</v>
      </c>
      <c r="Q27" s="26">
        <v>4910</v>
      </c>
      <c r="R27" s="35">
        <v>3393.2000000000003</v>
      </c>
    </row>
    <row r="28" spans="1:18" x14ac:dyDescent="0.25">
      <c r="B28" s="36" t="s">
        <v>369</v>
      </c>
      <c r="C28" s="28"/>
      <c r="D28" s="28"/>
      <c r="E28" s="28"/>
      <c r="F28" s="28"/>
      <c r="G28" s="28"/>
      <c r="H28" s="28"/>
      <c r="I28" s="28"/>
      <c r="J28" s="28"/>
      <c r="K28" s="47">
        <v>12</v>
      </c>
      <c r="L28" s="33">
        <v>12</v>
      </c>
      <c r="M28" s="26">
        <v>6</v>
      </c>
      <c r="N28" s="26">
        <v>6</v>
      </c>
      <c r="O28" s="26">
        <v>6</v>
      </c>
      <c r="P28" s="26">
        <v>6</v>
      </c>
      <c r="Q28" s="26">
        <v>3</v>
      </c>
      <c r="R28" s="26">
        <v>3</v>
      </c>
    </row>
    <row r="29" spans="1:18" x14ac:dyDescent="0.25">
      <c r="B29" s="36" t="s">
        <v>370</v>
      </c>
      <c r="C29" s="28"/>
      <c r="D29" s="28"/>
      <c r="E29" s="28"/>
      <c r="F29" s="28"/>
      <c r="G29" s="28"/>
      <c r="H29" s="28"/>
      <c r="I29" s="28"/>
      <c r="J29" s="28"/>
      <c r="K29" s="47">
        <f>K25*K28</f>
        <v>72</v>
      </c>
      <c r="L29" s="33">
        <f t="shared" ref="L29:N29" si="5">L25*L28</f>
        <v>72</v>
      </c>
      <c r="M29" s="33">
        <f t="shared" si="5"/>
        <v>72</v>
      </c>
      <c r="N29" s="33">
        <f t="shared" si="5"/>
        <v>72</v>
      </c>
      <c r="O29" s="26">
        <f>O28*O25</f>
        <v>36</v>
      </c>
      <c r="P29" s="26">
        <f t="shared" ref="P29:R29" si="6">P28*P25</f>
        <v>36</v>
      </c>
      <c r="Q29" s="26">
        <f t="shared" si="6"/>
        <v>36</v>
      </c>
      <c r="R29" s="26">
        <f t="shared" si="6"/>
        <v>36</v>
      </c>
    </row>
    <row r="30" spans="1:18" x14ac:dyDescent="0.25">
      <c r="B30" s="36" t="s">
        <v>371</v>
      </c>
      <c r="C30" s="28"/>
      <c r="D30" s="28"/>
      <c r="E30" s="28"/>
      <c r="F30" s="28"/>
      <c r="G30" s="28"/>
      <c r="H30" s="28"/>
      <c r="I30" s="28"/>
      <c r="J30" s="28"/>
      <c r="K30" s="47">
        <f t="shared" ref="K30:R30" si="7">(K26*K28)/1000</f>
        <v>18</v>
      </c>
      <c r="L30" s="33">
        <f t="shared" si="7"/>
        <v>18</v>
      </c>
      <c r="M30" s="33">
        <f t="shared" si="7"/>
        <v>18</v>
      </c>
      <c r="N30" s="33">
        <f t="shared" si="7"/>
        <v>18</v>
      </c>
      <c r="O30" s="26">
        <f t="shared" si="7"/>
        <v>9</v>
      </c>
      <c r="P30" s="26">
        <f t="shared" si="7"/>
        <v>9</v>
      </c>
      <c r="Q30" s="26">
        <f t="shared" si="7"/>
        <v>9</v>
      </c>
      <c r="R30" s="26">
        <f t="shared" si="7"/>
        <v>9</v>
      </c>
    </row>
    <row r="31" spans="1:18" x14ac:dyDescent="0.25">
      <c r="B31" s="36" t="s">
        <v>372</v>
      </c>
      <c r="C31" s="28"/>
      <c r="D31" s="28"/>
      <c r="E31" s="28"/>
      <c r="F31" s="28"/>
      <c r="G31" s="28"/>
      <c r="H31" s="28"/>
      <c r="I31" s="28"/>
      <c r="J31" s="28"/>
      <c r="K31" s="48">
        <v>29.785</v>
      </c>
      <c r="L31" s="34">
        <v>20.684200000000001</v>
      </c>
      <c r="M31" s="34">
        <v>29.989000000000001</v>
      </c>
      <c r="N31" s="34">
        <v>20.888200000000001</v>
      </c>
      <c r="O31" s="35">
        <v>14.974</v>
      </c>
      <c r="P31" s="35">
        <v>10.4236</v>
      </c>
      <c r="Q31" s="35">
        <v>15.076000000000001</v>
      </c>
      <c r="R31" s="35">
        <v>10.525600000000001</v>
      </c>
    </row>
    <row r="32" spans="1:18" x14ac:dyDescent="0.25">
      <c r="B32" s="16" t="s">
        <v>373</v>
      </c>
      <c r="C32" s="37">
        <v>36</v>
      </c>
      <c r="D32" s="39">
        <v>36</v>
      </c>
      <c r="E32" s="28"/>
      <c r="F32" s="45">
        <v>18</v>
      </c>
      <c r="G32" s="37">
        <v>18</v>
      </c>
      <c r="H32" s="45">
        <v>9</v>
      </c>
      <c r="I32" s="39">
        <v>9</v>
      </c>
      <c r="J32" s="28"/>
      <c r="K32" s="29">
        <v>4</v>
      </c>
      <c r="L32" s="26">
        <v>4</v>
      </c>
      <c r="M32" s="26">
        <v>4</v>
      </c>
      <c r="N32" s="26">
        <v>4</v>
      </c>
      <c r="O32" s="40"/>
      <c r="P32" s="40"/>
      <c r="Q32" s="40"/>
      <c r="R32" s="40"/>
    </row>
    <row r="33" spans="1:18" x14ac:dyDescent="0.25">
      <c r="B33" s="16" t="s">
        <v>374</v>
      </c>
      <c r="C33" s="26">
        <v>10</v>
      </c>
      <c r="D33" s="27">
        <v>10</v>
      </c>
      <c r="E33" s="28"/>
      <c r="F33" s="29">
        <v>12</v>
      </c>
      <c r="G33" s="26">
        <v>12</v>
      </c>
      <c r="H33" s="29">
        <v>12</v>
      </c>
      <c r="I33" s="27">
        <v>12</v>
      </c>
      <c r="J33" s="28"/>
      <c r="K33" s="29">
        <v>4</v>
      </c>
      <c r="L33" s="26">
        <v>4</v>
      </c>
      <c r="M33" s="26">
        <v>4</v>
      </c>
      <c r="N33" s="26">
        <v>4</v>
      </c>
      <c r="O33" s="40"/>
      <c r="P33" s="40"/>
      <c r="Q33" s="40"/>
      <c r="R33" s="40"/>
    </row>
    <row r="34" spans="1:18" x14ac:dyDescent="0.25">
      <c r="B34" s="16" t="s">
        <v>375</v>
      </c>
      <c r="C34" s="26">
        <f>C32*C33</f>
        <v>360</v>
      </c>
      <c r="D34" s="27">
        <f>D32*D33</f>
        <v>360</v>
      </c>
      <c r="E34" s="28"/>
      <c r="F34" s="29">
        <f t="shared" ref="F34:I34" si="8">F32*F33</f>
        <v>216</v>
      </c>
      <c r="G34" s="26">
        <f t="shared" si="8"/>
        <v>216</v>
      </c>
      <c r="H34" s="29">
        <f t="shared" si="8"/>
        <v>108</v>
      </c>
      <c r="I34" s="27">
        <f t="shared" si="8"/>
        <v>108</v>
      </c>
      <c r="J34" s="28"/>
      <c r="K34" s="29">
        <f>K33*K32</f>
        <v>16</v>
      </c>
      <c r="L34" s="29">
        <f t="shared" ref="L34:N34" si="9">L33*L32</f>
        <v>16</v>
      </c>
      <c r="M34" s="29">
        <f t="shared" si="9"/>
        <v>16</v>
      </c>
      <c r="N34" s="29">
        <f t="shared" si="9"/>
        <v>16</v>
      </c>
      <c r="O34" s="40"/>
      <c r="P34" s="40"/>
      <c r="Q34" s="40"/>
      <c r="R34" s="40"/>
    </row>
    <row r="35" spans="1:18" x14ac:dyDescent="0.25">
      <c r="B35" s="16" t="s">
        <v>376</v>
      </c>
      <c r="C35" s="26">
        <f>(C26*C34)/1000</f>
        <v>270</v>
      </c>
      <c r="D35" s="27">
        <f>(D26*D34)/1000</f>
        <v>270</v>
      </c>
      <c r="E35" s="28"/>
      <c r="F35" s="29">
        <f t="shared" ref="F35:I35" si="10">(F26*F34)/1000</f>
        <v>324</v>
      </c>
      <c r="G35" s="26">
        <f t="shared" si="10"/>
        <v>324</v>
      </c>
      <c r="H35" s="26">
        <f t="shared" si="10"/>
        <v>324</v>
      </c>
      <c r="I35" s="26">
        <f t="shared" si="10"/>
        <v>324</v>
      </c>
      <c r="J35" s="28"/>
      <c r="K35" s="29">
        <f>((K34*K30))</f>
        <v>288</v>
      </c>
      <c r="L35" s="29">
        <f>((L34*L30))</f>
        <v>288</v>
      </c>
      <c r="M35" s="29">
        <f>((M34*M30))</f>
        <v>288</v>
      </c>
      <c r="N35" s="29">
        <f>((N34*N30))</f>
        <v>288</v>
      </c>
      <c r="O35" s="40"/>
      <c r="P35" s="40"/>
      <c r="Q35" s="40"/>
      <c r="R35" s="40"/>
    </row>
    <row r="36" spans="1:18" x14ac:dyDescent="0.25">
      <c r="B36" s="46" t="s">
        <v>377</v>
      </c>
      <c r="C36" s="35">
        <f>((C18*C27)+25000)/1000</f>
        <v>466.18</v>
      </c>
      <c r="D36" s="35">
        <f>((D18*D27)+25000)/1000</f>
        <v>329.66800000000001</v>
      </c>
      <c r="E36" s="42"/>
      <c r="F36" s="35">
        <f>((F18*F27)+25000)/1000</f>
        <v>551.60799999999995</v>
      </c>
      <c r="G36" s="35">
        <f t="shared" ref="G36:I36" si="11">((G18*G27)+25000)/1000</f>
        <v>387.79360000000003</v>
      </c>
      <c r="H36" s="35">
        <f t="shared" si="11"/>
        <v>555.28</v>
      </c>
      <c r="I36" s="35">
        <f t="shared" si="11"/>
        <v>391.46560000000005</v>
      </c>
      <c r="J36" s="42"/>
      <c r="K36" s="38">
        <f>2.5+(K34*K31)</f>
        <v>479.06</v>
      </c>
      <c r="L36" s="35">
        <f>2.5+(L34*L31)</f>
        <v>333.44720000000001</v>
      </c>
      <c r="M36" s="35">
        <f>2.5+(M34*M31)</f>
        <v>482.32400000000001</v>
      </c>
      <c r="N36" s="35">
        <f>2.5+(N34*N31)</f>
        <v>336.71120000000002</v>
      </c>
      <c r="O36" s="40"/>
      <c r="P36" s="40"/>
      <c r="Q36" s="40"/>
      <c r="R36" s="40"/>
    </row>
    <row r="38" spans="1:18" x14ac:dyDescent="0.25">
      <c r="A38" s="49" t="s">
        <v>381</v>
      </c>
    </row>
    <row r="39" spans="1:18" x14ac:dyDescent="0.25">
      <c r="B39" s="55" t="s">
        <v>382</v>
      </c>
      <c r="C39" s="28"/>
      <c r="D39" s="28"/>
      <c r="E39" s="28"/>
      <c r="F39" s="28"/>
      <c r="G39" s="28"/>
      <c r="H39" s="26">
        <v>500</v>
      </c>
      <c r="I39" s="26">
        <v>500</v>
      </c>
      <c r="J39" s="28"/>
      <c r="K39" s="28"/>
      <c r="L39" s="28"/>
      <c r="M39" s="26">
        <v>500</v>
      </c>
      <c r="N39" s="26">
        <v>500</v>
      </c>
      <c r="O39" s="40"/>
      <c r="P39" s="40"/>
      <c r="Q39" s="26">
        <v>500</v>
      </c>
      <c r="R39" s="26">
        <v>500</v>
      </c>
    </row>
    <row r="40" spans="1:18" x14ac:dyDescent="0.25">
      <c r="B40" s="44" t="s">
        <v>380</v>
      </c>
      <c r="C40" s="28"/>
      <c r="D40" s="28"/>
      <c r="E40" s="28"/>
      <c r="F40" s="28"/>
      <c r="G40" s="28"/>
      <c r="H40" s="26">
        <v>799.5</v>
      </c>
      <c r="I40" s="35">
        <v>546.70000000000005</v>
      </c>
      <c r="J40" s="28"/>
      <c r="K40" s="28"/>
      <c r="L40" s="28"/>
      <c r="M40" s="26">
        <v>799.5</v>
      </c>
      <c r="N40" s="26">
        <v>546.29999999999995</v>
      </c>
      <c r="O40" s="40"/>
      <c r="P40" s="40"/>
      <c r="Q40" s="26">
        <v>799.5</v>
      </c>
      <c r="R40" s="26">
        <v>546.29999999999995</v>
      </c>
    </row>
    <row r="41" spans="1:18" x14ac:dyDescent="0.25">
      <c r="B41" s="49" t="s">
        <v>366</v>
      </c>
      <c r="C41" s="28"/>
      <c r="D41" s="28"/>
      <c r="E41" s="28"/>
      <c r="F41" s="28"/>
      <c r="G41" s="28"/>
      <c r="H41" s="26">
        <v>6</v>
      </c>
      <c r="I41" s="26">
        <v>6</v>
      </c>
      <c r="J41" s="28"/>
      <c r="K41" s="28"/>
      <c r="L41" s="28"/>
      <c r="M41" s="26">
        <v>6</v>
      </c>
      <c r="N41" s="26">
        <v>6</v>
      </c>
      <c r="O41" s="40"/>
      <c r="P41" s="40"/>
      <c r="Q41" s="26">
        <v>6</v>
      </c>
      <c r="R41" s="26">
        <v>6</v>
      </c>
    </row>
    <row r="42" spans="1:18" x14ac:dyDescent="0.25">
      <c r="B42" s="16" t="s">
        <v>367</v>
      </c>
      <c r="C42" s="28"/>
      <c r="D42" s="28"/>
      <c r="E42" s="28"/>
      <c r="F42" s="28"/>
      <c r="G42" s="28"/>
      <c r="H42" s="26">
        <f>24*125</f>
        <v>3000</v>
      </c>
      <c r="I42" s="26">
        <v>3000</v>
      </c>
      <c r="J42" s="28"/>
      <c r="K42" s="28"/>
      <c r="L42" s="28"/>
      <c r="M42" s="26">
        <v>3000</v>
      </c>
      <c r="N42" s="26">
        <v>3000</v>
      </c>
      <c r="O42" s="40"/>
      <c r="P42" s="40"/>
      <c r="Q42" s="26">
        <v>3000</v>
      </c>
      <c r="R42" s="26">
        <v>3000</v>
      </c>
    </row>
    <row r="43" spans="1:18" x14ac:dyDescent="0.25">
      <c r="B43" s="16" t="s">
        <v>368</v>
      </c>
      <c r="C43" s="28"/>
      <c r="D43" s="28"/>
      <c r="E43" s="28"/>
      <c r="F43" s="28"/>
      <c r="G43" s="28"/>
      <c r="H43" s="26">
        <v>4907</v>
      </c>
      <c r="I43" s="35">
        <v>3390.2000000000003</v>
      </c>
      <c r="J43" s="28"/>
      <c r="K43" s="28"/>
      <c r="L43" s="28"/>
      <c r="M43" s="26">
        <v>4907</v>
      </c>
      <c r="N43" s="26">
        <v>3387.7999999999997</v>
      </c>
      <c r="O43" s="40"/>
      <c r="P43" s="40"/>
      <c r="Q43" s="26">
        <v>4907</v>
      </c>
      <c r="R43" s="26">
        <v>3387.7999999999997</v>
      </c>
    </row>
    <row r="44" spans="1:18" x14ac:dyDescent="0.25">
      <c r="B44" s="16" t="s">
        <v>369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6">
        <v>6</v>
      </c>
      <c r="N44" s="26">
        <v>6</v>
      </c>
      <c r="O44" s="40"/>
      <c r="P44" s="40"/>
      <c r="Q44" s="26">
        <v>3</v>
      </c>
      <c r="R44" s="26">
        <v>3</v>
      </c>
    </row>
    <row r="45" spans="1:18" x14ac:dyDescent="0.25">
      <c r="B45" s="16" t="s">
        <v>370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6">
        <v>36</v>
      </c>
      <c r="N45" s="26">
        <v>36</v>
      </c>
      <c r="O45" s="40"/>
      <c r="P45" s="40"/>
      <c r="Q45" s="26">
        <f>Q41*Q44</f>
        <v>18</v>
      </c>
      <c r="R45" s="26">
        <f>R41*R44</f>
        <v>18</v>
      </c>
    </row>
    <row r="46" spans="1:18" x14ac:dyDescent="0.25">
      <c r="B46" s="16" t="s">
        <v>371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6">
        <f>(M42*M44)/1000</f>
        <v>18</v>
      </c>
      <c r="N46" s="26">
        <f>(N42*N44)/1000</f>
        <v>18</v>
      </c>
      <c r="O46" s="40"/>
      <c r="P46" s="40"/>
      <c r="Q46" s="26">
        <f>(Q42*Q44)/1000</f>
        <v>9</v>
      </c>
      <c r="R46" s="26">
        <f>(R42*R44)/1000</f>
        <v>9</v>
      </c>
    </row>
    <row r="47" spans="1:18" x14ac:dyDescent="0.25">
      <c r="B47" s="16" t="s">
        <v>372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35">
        <v>29.971</v>
      </c>
      <c r="N47" s="35">
        <v>20.855799999999999</v>
      </c>
      <c r="O47" s="40"/>
      <c r="P47" s="40"/>
      <c r="Q47" s="34">
        <v>15.067</v>
      </c>
      <c r="R47" s="34">
        <v>10.509399999999999</v>
      </c>
    </row>
    <row r="48" spans="1:18" x14ac:dyDescent="0.25">
      <c r="B48" s="16" t="s">
        <v>373</v>
      </c>
      <c r="C48" s="28"/>
      <c r="D48" s="28"/>
      <c r="E48" s="28"/>
      <c r="F48" s="28"/>
      <c r="G48" s="28"/>
      <c r="H48" s="26">
        <v>9</v>
      </c>
      <c r="I48" s="26">
        <v>9</v>
      </c>
      <c r="J48" s="28"/>
      <c r="K48" s="28"/>
      <c r="L48" s="28"/>
      <c r="M48" s="26">
        <v>4</v>
      </c>
      <c r="N48" s="26">
        <v>4</v>
      </c>
      <c r="O48" s="40"/>
      <c r="P48" s="40"/>
      <c r="Q48" s="28"/>
      <c r="R48" s="28"/>
    </row>
    <row r="49" spans="1:18" x14ac:dyDescent="0.25">
      <c r="B49" s="16" t="s">
        <v>374</v>
      </c>
      <c r="C49" s="28"/>
      <c r="D49" s="28"/>
      <c r="E49" s="28"/>
      <c r="F49" s="28"/>
      <c r="G49" s="28"/>
      <c r="H49" s="26">
        <v>12</v>
      </c>
      <c r="I49" s="26">
        <v>12</v>
      </c>
      <c r="J49" s="28"/>
      <c r="K49" s="28"/>
      <c r="L49" s="28"/>
      <c r="M49" s="26">
        <v>4</v>
      </c>
      <c r="N49" s="26">
        <v>4</v>
      </c>
      <c r="O49" s="40"/>
      <c r="P49" s="40"/>
      <c r="Q49" s="28"/>
      <c r="R49" s="28"/>
    </row>
    <row r="50" spans="1:18" x14ac:dyDescent="0.25">
      <c r="B50" s="16" t="s">
        <v>375</v>
      </c>
      <c r="C50" s="28"/>
      <c r="D50" s="28"/>
      <c r="E50" s="28"/>
      <c r="F50" s="28"/>
      <c r="G50" s="28"/>
      <c r="H50" s="26">
        <f>H48*H49</f>
        <v>108</v>
      </c>
      <c r="I50" s="26">
        <f t="shared" ref="I50" si="12">I48*I49</f>
        <v>108</v>
      </c>
      <c r="J50" s="28"/>
      <c r="K50" s="28"/>
      <c r="L50" s="28"/>
      <c r="M50" s="26">
        <f>M49*M48</f>
        <v>16</v>
      </c>
      <c r="N50" s="26">
        <f>N49*N48</f>
        <v>16</v>
      </c>
      <c r="O50" s="40"/>
      <c r="P50" s="40"/>
      <c r="Q50" s="28"/>
      <c r="R50" s="28"/>
    </row>
    <row r="51" spans="1:18" x14ac:dyDescent="0.25">
      <c r="B51" s="16" t="s">
        <v>376</v>
      </c>
      <c r="C51" s="28"/>
      <c r="D51" s="28"/>
      <c r="E51" s="28"/>
      <c r="F51" s="28"/>
      <c r="G51" s="28"/>
      <c r="H51" s="26">
        <f>(H42*H50)/1000</f>
        <v>324</v>
      </c>
      <c r="I51" s="26">
        <f t="shared" ref="I51" si="13">(I42*I50)/1000</f>
        <v>324</v>
      </c>
      <c r="J51" s="28"/>
      <c r="K51" s="28"/>
      <c r="L51" s="28"/>
      <c r="M51" s="26">
        <f>(M46*M50)</f>
        <v>288</v>
      </c>
      <c r="N51" s="26">
        <f>(N46*N50)</f>
        <v>288</v>
      </c>
      <c r="O51" s="40"/>
      <c r="P51" s="40"/>
      <c r="Q51" s="28"/>
      <c r="R51" s="28"/>
    </row>
    <row r="52" spans="1:18" x14ac:dyDescent="0.25">
      <c r="B52" s="16" t="s">
        <v>377</v>
      </c>
      <c r="C52" s="28"/>
      <c r="D52" s="28"/>
      <c r="E52" s="28"/>
      <c r="F52" s="28"/>
      <c r="G52" s="28"/>
      <c r="H52" s="35">
        <f>((H50*H43)+25000)/1000</f>
        <v>554.95600000000002</v>
      </c>
      <c r="I52" s="35">
        <f>((I50*I43)+25000)/1000</f>
        <v>391.14160000000004</v>
      </c>
      <c r="J52" s="28"/>
      <c r="K52" s="28"/>
      <c r="L52" s="28"/>
      <c r="M52" s="35">
        <f>(M50*M47)+2.5</f>
        <v>482.036</v>
      </c>
      <c r="N52" s="35">
        <f>(N50*N47)+2.5</f>
        <v>336.19279999999998</v>
      </c>
      <c r="O52" s="40"/>
      <c r="P52" s="40"/>
      <c r="Q52" s="28"/>
      <c r="R52" s="28"/>
    </row>
    <row r="54" spans="1:18" x14ac:dyDescent="0.25">
      <c r="A54" s="50" t="s">
        <v>383</v>
      </c>
    </row>
    <row r="55" spans="1:18" x14ac:dyDescent="0.25">
      <c r="B55" s="55" t="s">
        <v>382</v>
      </c>
      <c r="C55" s="28"/>
      <c r="D55" s="28"/>
      <c r="E55" s="28"/>
      <c r="F55" s="28"/>
      <c r="G55" s="28"/>
      <c r="H55" s="28"/>
      <c r="I55" s="28"/>
      <c r="J55" s="26">
        <v>500</v>
      </c>
      <c r="K55" s="28"/>
      <c r="L55" s="28"/>
      <c r="M55" s="28"/>
      <c r="N55" s="28"/>
      <c r="O55" s="40"/>
      <c r="P55" s="40"/>
      <c r="Q55" s="40"/>
      <c r="R55" s="40"/>
    </row>
    <row r="56" spans="1:18" x14ac:dyDescent="0.25">
      <c r="B56" s="44" t="s">
        <v>380</v>
      </c>
      <c r="C56" s="28"/>
      <c r="D56" s="28"/>
      <c r="E56" s="28"/>
      <c r="F56" s="28"/>
      <c r="G56" s="28"/>
      <c r="H56" s="28"/>
      <c r="I56" s="28"/>
      <c r="J56" s="26">
        <v>543.29999999999995</v>
      </c>
      <c r="K56" s="28"/>
      <c r="L56" s="28"/>
      <c r="M56" s="28"/>
      <c r="N56" s="28"/>
      <c r="O56" s="40"/>
      <c r="P56" s="40"/>
      <c r="Q56" s="40"/>
      <c r="R56" s="40"/>
    </row>
    <row r="57" spans="1:18" x14ac:dyDescent="0.25">
      <c r="B57" s="50" t="s">
        <v>366</v>
      </c>
      <c r="C57" s="28"/>
      <c r="D57" s="28"/>
      <c r="E57" s="28"/>
      <c r="F57" s="28"/>
      <c r="G57" s="28"/>
      <c r="H57" s="28"/>
      <c r="I57" s="28"/>
      <c r="J57" s="26">
        <v>12</v>
      </c>
      <c r="K57" s="28"/>
      <c r="L57" s="28"/>
      <c r="M57" s="28"/>
      <c r="N57" s="28"/>
      <c r="O57" s="40"/>
      <c r="P57" s="40"/>
      <c r="Q57" s="40"/>
      <c r="R57" s="40"/>
    </row>
    <row r="58" spans="1:18" x14ac:dyDescent="0.25">
      <c r="B58" s="16" t="s">
        <v>367</v>
      </c>
      <c r="C58" s="28"/>
      <c r="D58" s="28"/>
      <c r="E58" s="28"/>
      <c r="F58" s="28"/>
      <c r="G58" s="28"/>
      <c r="H58" s="28"/>
      <c r="I58" s="28"/>
      <c r="J58" s="26">
        <v>6000</v>
      </c>
      <c r="K58" s="28"/>
      <c r="L58" s="28"/>
      <c r="M58" s="28"/>
      <c r="N58" s="28"/>
      <c r="O58" s="40"/>
      <c r="P58" s="40"/>
      <c r="Q58" s="40"/>
      <c r="R58" s="40"/>
    </row>
    <row r="59" spans="1:18" x14ac:dyDescent="0.25">
      <c r="B59" s="16" t="s">
        <v>368</v>
      </c>
      <c r="C59" s="28"/>
      <c r="D59" s="28"/>
      <c r="E59" s="28"/>
      <c r="F59" s="28"/>
      <c r="G59" s="28"/>
      <c r="H59" s="28"/>
      <c r="I59" s="28"/>
      <c r="J59" s="26">
        <v>6704.5999999999995</v>
      </c>
      <c r="K59" s="28"/>
      <c r="L59" s="28"/>
      <c r="M59" s="28"/>
      <c r="N59" s="28"/>
      <c r="O59" s="40"/>
      <c r="P59" s="40"/>
      <c r="Q59" s="40"/>
      <c r="R59" s="40"/>
    </row>
    <row r="60" spans="1:18" x14ac:dyDescent="0.25">
      <c r="B60" s="16" t="s">
        <v>373</v>
      </c>
      <c r="C60" s="28"/>
      <c r="D60" s="28"/>
      <c r="E60" s="28"/>
      <c r="F60" s="28"/>
      <c r="G60" s="28"/>
      <c r="H60" s="28"/>
      <c r="I60" s="28"/>
      <c r="J60" s="26">
        <v>9</v>
      </c>
      <c r="K60" s="28"/>
      <c r="L60" s="28"/>
      <c r="M60" s="28"/>
      <c r="N60" s="28"/>
      <c r="O60" s="40"/>
      <c r="P60" s="40"/>
      <c r="Q60" s="40"/>
      <c r="R60" s="40"/>
    </row>
    <row r="61" spans="1:18" x14ac:dyDescent="0.25">
      <c r="B61" s="16" t="s">
        <v>374</v>
      </c>
      <c r="C61" s="28"/>
      <c r="D61" s="28"/>
      <c r="E61" s="28"/>
      <c r="F61" s="28"/>
      <c r="G61" s="28"/>
      <c r="H61" s="28"/>
      <c r="I61" s="28"/>
      <c r="J61" s="26">
        <v>6</v>
      </c>
      <c r="K61" s="28"/>
      <c r="L61" s="28"/>
      <c r="M61" s="28"/>
      <c r="N61" s="28"/>
      <c r="O61" s="40"/>
      <c r="P61" s="40"/>
      <c r="Q61" s="40"/>
      <c r="R61" s="40"/>
    </row>
    <row r="62" spans="1:18" x14ac:dyDescent="0.25">
      <c r="B62" s="16" t="s">
        <v>375</v>
      </c>
      <c r="C62" s="28"/>
      <c r="D62" s="28"/>
      <c r="E62" s="28"/>
      <c r="F62" s="28"/>
      <c r="G62" s="28"/>
      <c r="H62" s="28"/>
      <c r="I62" s="28"/>
      <c r="J62" s="26">
        <f>J60*J61</f>
        <v>54</v>
      </c>
      <c r="K62" s="28"/>
      <c r="L62" s="28"/>
      <c r="M62" s="28"/>
      <c r="N62" s="28"/>
      <c r="O62" s="40"/>
      <c r="P62" s="40"/>
      <c r="Q62" s="40"/>
      <c r="R62" s="40"/>
    </row>
    <row r="63" spans="1:18" x14ac:dyDescent="0.25">
      <c r="B63" s="16" t="s">
        <v>376</v>
      </c>
      <c r="C63" s="28"/>
      <c r="D63" s="28"/>
      <c r="E63" s="28"/>
      <c r="F63" s="28"/>
      <c r="G63" s="28"/>
      <c r="H63" s="28"/>
      <c r="I63" s="28"/>
      <c r="J63" s="26">
        <f>(J58*J62)/1000</f>
        <v>324</v>
      </c>
      <c r="K63" s="28"/>
      <c r="L63" s="28"/>
      <c r="M63" s="28"/>
      <c r="N63" s="28"/>
      <c r="O63" s="40"/>
      <c r="P63" s="40"/>
      <c r="Q63" s="40"/>
      <c r="R63" s="40"/>
    </row>
    <row r="64" spans="1:18" x14ac:dyDescent="0.25">
      <c r="B64" s="16" t="s">
        <v>377</v>
      </c>
      <c r="C64" s="28"/>
      <c r="D64" s="28"/>
      <c r="E64" s="28"/>
      <c r="F64" s="28"/>
      <c r="G64" s="28"/>
      <c r="H64" s="28"/>
      <c r="I64" s="28"/>
      <c r="J64" s="35">
        <f>((J62*J59)+25000)/1000</f>
        <v>387.04839999999996</v>
      </c>
      <c r="K64" s="28"/>
      <c r="L64" s="28"/>
      <c r="M64" s="28"/>
      <c r="N64" s="28"/>
      <c r="O64" s="40"/>
      <c r="P64" s="40"/>
      <c r="Q64" s="40"/>
      <c r="R64" s="40"/>
    </row>
    <row r="66" spans="1:18" x14ac:dyDescent="0.25">
      <c r="A66" s="51" t="s">
        <v>384</v>
      </c>
      <c r="H66" s="83" t="s">
        <v>385</v>
      </c>
      <c r="I66" s="83"/>
      <c r="M66" s="84" t="s">
        <v>386</v>
      </c>
      <c r="N66" s="84"/>
      <c r="Q66" s="84" t="s">
        <v>386</v>
      </c>
      <c r="R66" s="84"/>
    </row>
    <row r="67" spans="1:18" x14ac:dyDescent="0.25">
      <c r="B67" s="53" t="s">
        <v>387</v>
      </c>
      <c r="C67" s="28"/>
      <c r="D67" s="28"/>
      <c r="E67" s="28"/>
      <c r="F67" s="28"/>
      <c r="G67" s="28"/>
      <c r="H67" s="85">
        <v>190</v>
      </c>
      <c r="I67" s="85"/>
      <c r="J67" s="28"/>
      <c r="K67" s="28"/>
      <c r="L67" s="28"/>
      <c r="M67" s="85">
        <f>(0.2*0.985)*1000</f>
        <v>197</v>
      </c>
      <c r="N67" s="85"/>
      <c r="O67" s="40"/>
      <c r="P67" s="40"/>
      <c r="Q67" s="85">
        <f>(0.2*0.985)*1000</f>
        <v>197</v>
      </c>
      <c r="R67" s="85"/>
    </row>
    <row r="68" spans="1:18" x14ac:dyDescent="0.25">
      <c r="B68" s="53" t="s">
        <v>365</v>
      </c>
      <c r="C68" s="28"/>
      <c r="D68" s="28"/>
      <c r="E68" s="28"/>
      <c r="F68" s="28"/>
      <c r="G68" s="28"/>
      <c r="H68" s="94">
        <v>322</v>
      </c>
      <c r="I68" s="94"/>
      <c r="J68" s="28"/>
      <c r="K68" s="28"/>
      <c r="L68" s="28"/>
      <c r="M68" s="94">
        <v>336.03999999999996</v>
      </c>
      <c r="N68" s="94"/>
      <c r="O68" s="40"/>
      <c r="P68" s="40"/>
      <c r="Q68" s="95">
        <v>336.03999999999996</v>
      </c>
      <c r="R68" s="96"/>
    </row>
    <row r="69" spans="1:18" x14ac:dyDescent="0.25">
      <c r="B69" s="53" t="s">
        <v>366</v>
      </c>
      <c r="C69" s="28"/>
      <c r="D69" s="28"/>
      <c r="E69" s="28"/>
      <c r="F69" s="28"/>
      <c r="G69" s="28"/>
      <c r="H69" s="85">
        <v>6</v>
      </c>
      <c r="I69" s="85"/>
      <c r="J69" s="28"/>
      <c r="K69" s="28"/>
      <c r="L69" s="28"/>
      <c r="M69" s="85">
        <v>12</v>
      </c>
      <c r="N69" s="85"/>
      <c r="O69" s="40"/>
      <c r="P69" s="40"/>
      <c r="Q69" s="85">
        <v>12</v>
      </c>
      <c r="R69" s="85"/>
    </row>
    <row r="70" spans="1:18" x14ac:dyDescent="0.25">
      <c r="B70" s="53" t="s">
        <v>367</v>
      </c>
      <c r="C70" s="28"/>
      <c r="D70" s="28"/>
      <c r="E70" s="28"/>
      <c r="F70" s="28"/>
      <c r="G70" s="28"/>
      <c r="H70" s="85">
        <f>6*H67</f>
        <v>1140</v>
      </c>
      <c r="I70" s="85"/>
      <c r="J70" s="28"/>
      <c r="K70" s="28"/>
      <c r="L70" s="28"/>
      <c r="M70" s="85">
        <f>12*M67</f>
        <v>2364</v>
      </c>
      <c r="N70" s="85"/>
      <c r="O70" s="40"/>
      <c r="P70" s="40"/>
      <c r="Q70" s="85">
        <f>12*Q67</f>
        <v>2364</v>
      </c>
      <c r="R70" s="85"/>
    </row>
    <row r="71" spans="1:18" x14ac:dyDescent="0.25">
      <c r="B71" s="53" t="s">
        <v>368</v>
      </c>
      <c r="C71" s="28"/>
      <c r="D71" s="28"/>
      <c r="E71" s="28"/>
      <c r="F71" s="28"/>
      <c r="G71" s="28"/>
      <c r="H71" s="85">
        <v>1958</v>
      </c>
      <c r="I71" s="85"/>
      <c r="J71" s="28"/>
      <c r="K71" s="28"/>
      <c r="L71" s="28"/>
      <c r="M71" s="85">
        <v>4142.4799999999996</v>
      </c>
      <c r="N71" s="85"/>
      <c r="O71" s="40"/>
      <c r="P71" s="40"/>
      <c r="Q71" s="85">
        <v>4142.4799999999996</v>
      </c>
      <c r="R71" s="85"/>
    </row>
    <row r="72" spans="1:18" x14ac:dyDescent="0.25">
      <c r="B72" s="53" t="s">
        <v>369</v>
      </c>
      <c r="C72" s="28"/>
      <c r="D72" s="28"/>
      <c r="E72" s="28"/>
      <c r="F72" s="28"/>
      <c r="G72" s="28"/>
      <c r="H72" s="87"/>
      <c r="I72" s="87"/>
      <c r="J72" s="28"/>
      <c r="K72" s="28"/>
      <c r="L72" s="28"/>
      <c r="M72" s="85">
        <v>6</v>
      </c>
      <c r="N72" s="85"/>
      <c r="O72" s="40"/>
      <c r="P72" s="40"/>
      <c r="Q72" s="85">
        <v>3</v>
      </c>
      <c r="R72" s="85"/>
    </row>
    <row r="73" spans="1:18" x14ac:dyDescent="0.25">
      <c r="B73" s="53" t="s">
        <v>370</v>
      </c>
      <c r="C73" s="28"/>
      <c r="D73" s="28"/>
      <c r="E73" s="28"/>
      <c r="F73" s="28"/>
      <c r="G73" s="28"/>
      <c r="H73" s="87"/>
      <c r="I73" s="87"/>
      <c r="J73" s="28"/>
      <c r="K73" s="28"/>
      <c r="L73" s="28"/>
      <c r="M73" s="85">
        <f>M72*M69</f>
        <v>72</v>
      </c>
      <c r="N73" s="85"/>
      <c r="O73" s="40"/>
      <c r="P73" s="40"/>
      <c r="Q73" s="85">
        <f>Q72*Q69</f>
        <v>36</v>
      </c>
      <c r="R73" s="85"/>
    </row>
    <row r="74" spans="1:18" x14ac:dyDescent="0.25">
      <c r="B74" s="53" t="s">
        <v>371</v>
      </c>
      <c r="C74" s="28"/>
      <c r="D74" s="28"/>
      <c r="E74" s="28"/>
      <c r="F74" s="28"/>
      <c r="G74" s="28"/>
      <c r="H74" s="87"/>
      <c r="I74" s="87"/>
      <c r="J74" s="28"/>
      <c r="K74" s="28"/>
      <c r="L74" s="28"/>
      <c r="M74" s="88">
        <f>(M70*M72)/1000</f>
        <v>14.183999999999999</v>
      </c>
      <c r="N74" s="88"/>
      <c r="O74" s="40"/>
      <c r="P74" s="40"/>
      <c r="Q74" s="88">
        <f>(Q70*Q72)/1000</f>
        <v>7.0919999999999996</v>
      </c>
      <c r="R74" s="88"/>
    </row>
    <row r="75" spans="1:18" x14ac:dyDescent="0.25">
      <c r="B75" s="53" t="s">
        <v>372</v>
      </c>
      <c r="C75" s="28"/>
      <c r="D75" s="28"/>
      <c r="E75" s="28"/>
      <c r="F75" s="28"/>
      <c r="G75" s="28"/>
      <c r="H75" s="87"/>
      <c r="I75" s="87"/>
      <c r="J75" s="28"/>
      <c r="K75" s="28"/>
      <c r="L75" s="28"/>
      <c r="M75" s="88">
        <v>25.383879999999998</v>
      </c>
      <c r="N75" s="88"/>
      <c r="O75" s="40"/>
      <c r="P75" s="40"/>
      <c r="Q75" s="88">
        <v>12.773439999999999</v>
      </c>
      <c r="R75" s="88"/>
    </row>
    <row r="77" spans="1:18" x14ac:dyDescent="0.25">
      <c r="A77" s="52" t="s">
        <v>388</v>
      </c>
      <c r="H77" s="84" t="s">
        <v>389</v>
      </c>
      <c r="I77" s="84"/>
      <c r="M77" s="84" t="s">
        <v>390</v>
      </c>
      <c r="N77" s="84"/>
      <c r="Q77" s="84" t="s">
        <v>390</v>
      </c>
      <c r="R77" s="84"/>
    </row>
    <row r="78" spans="1:18" x14ac:dyDescent="0.25">
      <c r="B78" s="53" t="s">
        <v>387</v>
      </c>
      <c r="C78" s="28"/>
      <c r="D78" s="28"/>
      <c r="E78" s="28"/>
      <c r="F78" s="28"/>
      <c r="G78" s="28"/>
      <c r="H78" s="85">
        <v>380</v>
      </c>
      <c r="I78" s="85"/>
      <c r="J78" s="28"/>
      <c r="K78" s="28"/>
      <c r="L78" s="28"/>
      <c r="M78" s="85">
        <f>(0.4*0.985)*1000</f>
        <v>394</v>
      </c>
      <c r="N78" s="85"/>
      <c r="O78" s="40"/>
      <c r="P78" s="40"/>
      <c r="Q78" s="85">
        <f>(0.4*0.985)*1000</f>
        <v>394</v>
      </c>
      <c r="R78" s="85"/>
    </row>
    <row r="79" spans="1:18" x14ac:dyDescent="0.25">
      <c r="B79" s="53" t="s">
        <v>365</v>
      </c>
      <c r="C79" s="28"/>
      <c r="D79" s="28"/>
      <c r="E79" s="28"/>
      <c r="F79" s="28"/>
      <c r="G79" s="28"/>
      <c r="H79" s="95">
        <v>582</v>
      </c>
      <c r="I79" s="96"/>
      <c r="J79" s="28"/>
      <c r="K79" s="28"/>
      <c r="L79" s="28"/>
      <c r="M79" s="95">
        <v>533.04</v>
      </c>
      <c r="N79" s="96"/>
      <c r="O79" s="40"/>
      <c r="P79" s="40"/>
      <c r="Q79" s="95">
        <v>533.04</v>
      </c>
      <c r="R79" s="96"/>
    </row>
    <row r="80" spans="1:18" x14ac:dyDescent="0.25">
      <c r="B80" s="53" t="s">
        <v>366</v>
      </c>
      <c r="C80" s="28"/>
      <c r="D80" s="28"/>
      <c r="E80" s="28"/>
      <c r="F80" s="28"/>
      <c r="G80" s="28"/>
      <c r="H80" s="85">
        <v>6</v>
      </c>
      <c r="I80" s="85"/>
      <c r="J80" s="28"/>
      <c r="K80" s="28"/>
      <c r="L80" s="28"/>
      <c r="M80" s="85">
        <v>12</v>
      </c>
      <c r="N80" s="85"/>
      <c r="O80" s="40"/>
      <c r="P80" s="40"/>
      <c r="Q80" s="85">
        <v>12</v>
      </c>
      <c r="R80" s="85"/>
    </row>
    <row r="81" spans="1:18" x14ac:dyDescent="0.25">
      <c r="B81" s="53" t="s">
        <v>367</v>
      </c>
      <c r="C81" s="28"/>
      <c r="D81" s="28"/>
      <c r="E81" s="28"/>
      <c r="F81" s="28"/>
      <c r="G81" s="28"/>
      <c r="H81" s="85">
        <f>H78*H80</f>
        <v>2280</v>
      </c>
      <c r="I81" s="85"/>
      <c r="J81" s="28"/>
      <c r="K81" s="28"/>
      <c r="L81" s="28"/>
      <c r="M81" s="85">
        <f>M78*M80</f>
        <v>4728</v>
      </c>
      <c r="N81" s="85"/>
      <c r="O81" s="40"/>
      <c r="P81" s="40"/>
      <c r="Q81" s="85">
        <f>Q78*Q80</f>
        <v>4728</v>
      </c>
      <c r="R81" s="85"/>
    </row>
    <row r="82" spans="1:18" x14ac:dyDescent="0.25">
      <c r="B82" s="53" t="s">
        <v>368</v>
      </c>
      <c r="C82" s="28"/>
      <c r="D82" s="28"/>
      <c r="E82" s="28"/>
      <c r="F82" s="28"/>
      <c r="G82" s="28"/>
      <c r="H82" s="85">
        <v>3602</v>
      </c>
      <c r="I82" s="85"/>
      <c r="J82" s="28"/>
      <c r="K82" s="28"/>
      <c r="L82" s="28"/>
      <c r="M82" s="85">
        <v>6506.48</v>
      </c>
      <c r="N82" s="85"/>
      <c r="O82" s="40"/>
      <c r="P82" s="40"/>
      <c r="Q82" s="85">
        <v>6506.48</v>
      </c>
      <c r="R82" s="85"/>
    </row>
    <row r="83" spans="1:18" x14ac:dyDescent="0.25">
      <c r="B83" s="53" t="s">
        <v>369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85">
        <v>4</v>
      </c>
      <c r="N83" s="85"/>
      <c r="O83" s="40"/>
      <c r="P83" s="40"/>
      <c r="Q83" s="85">
        <v>2</v>
      </c>
      <c r="R83" s="85"/>
    </row>
    <row r="84" spans="1:18" x14ac:dyDescent="0.25">
      <c r="B84" s="53" t="s">
        <v>370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85">
        <f>M83*M80</f>
        <v>48</v>
      </c>
      <c r="N84" s="85"/>
      <c r="O84" s="40"/>
      <c r="P84" s="40"/>
      <c r="Q84" s="85">
        <f>Q83*Q80</f>
        <v>24</v>
      </c>
      <c r="R84" s="85"/>
    </row>
    <row r="85" spans="1:18" x14ac:dyDescent="0.25">
      <c r="B85" s="53" t="s">
        <v>371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88">
        <f>(M81*M83)/1000</f>
        <v>18.911999999999999</v>
      </c>
      <c r="N85" s="88"/>
      <c r="O85" s="40"/>
      <c r="P85" s="40"/>
      <c r="Q85" s="88">
        <f>(Q81*Q83)/1000</f>
        <v>9.4559999999999995</v>
      </c>
      <c r="R85" s="88"/>
    </row>
    <row r="86" spans="1:18" x14ac:dyDescent="0.25">
      <c r="B86" s="53" t="s">
        <v>372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88">
        <v>26.554919999999999</v>
      </c>
      <c r="N86" s="88"/>
      <c r="O86" s="40"/>
      <c r="P86" s="40"/>
      <c r="Q86" s="88">
        <v>13.35896</v>
      </c>
      <c r="R86" s="88"/>
    </row>
    <row r="91" spans="1:18" x14ac:dyDescent="0.25">
      <c r="G91" s="68" t="s">
        <v>430</v>
      </c>
      <c r="H91" s="68" t="s">
        <v>429</v>
      </c>
    </row>
    <row r="92" spans="1:18" x14ac:dyDescent="0.25">
      <c r="G92" s="73" t="s">
        <v>427</v>
      </c>
      <c r="H92" s="73" t="s">
        <v>428</v>
      </c>
    </row>
    <row r="93" spans="1:18" x14ac:dyDescent="0.25">
      <c r="A93" s="62" t="s">
        <v>391</v>
      </c>
      <c r="B93" s="59" t="s">
        <v>364</v>
      </c>
      <c r="C93" s="60"/>
      <c r="D93" s="17"/>
      <c r="F93" s="68" t="s">
        <v>402</v>
      </c>
      <c r="G93" s="68" t="s">
        <v>403</v>
      </c>
      <c r="H93" s="68" t="s">
        <v>404</v>
      </c>
    </row>
    <row r="94" spans="1:18" x14ac:dyDescent="0.25">
      <c r="A94" s="62" t="s">
        <v>392</v>
      </c>
      <c r="B94" s="59" t="s">
        <v>365</v>
      </c>
      <c r="C94" s="60">
        <v>88</v>
      </c>
      <c r="D94" s="17"/>
    </row>
    <row r="95" spans="1:18" x14ac:dyDescent="0.25">
      <c r="B95" s="36" t="s">
        <v>366</v>
      </c>
      <c r="C95" s="27">
        <v>4</v>
      </c>
      <c r="D95" s="26"/>
    </row>
    <row r="96" spans="1:18" x14ac:dyDescent="0.25">
      <c r="B96" s="36" t="s">
        <v>367</v>
      </c>
      <c r="C96" s="27"/>
      <c r="D96" s="26"/>
      <c r="G96" s="3" t="s">
        <v>405</v>
      </c>
      <c r="H96" s="3" t="s">
        <v>406</v>
      </c>
    </row>
    <row r="97" spans="1:8" x14ac:dyDescent="0.25">
      <c r="B97" s="36" t="s">
        <v>368</v>
      </c>
      <c r="C97" s="27"/>
      <c r="D97" s="26"/>
    </row>
    <row r="98" spans="1:8" x14ac:dyDescent="0.25">
      <c r="B98" s="36" t="s">
        <v>373</v>
      </c>
      <c r="C98" s="27">
        <v>13</v>
      </c>
      <c r="D98" s="26"/>
      <c r="G98" s="3" t="s">
        <v>407</v>
      </c>
      <c r="H98" s="3" t="s">
        <v>408</v>
      </c>
    </row>
    <row r="99" spans="1:8" x14ac:dyDescent="0.25">
      <c r="B99" s="36" t="s">
        <v>374</v>
      </c>
      <c r="C99" s="27">
        <v>12</v>
      </c>
      <c r="D99" s="26"/>
      <c r="H99" s="3" t="s">
        <v>409</v>
      </c>
    </row>
    <row r="100" spans="1:8" x14ac:dyDescent="0.25">
      <c r="B100" s="36" t="s">
        <v>375</v>
      </c>
      <c r="C100" s="27">
        <v>156</v>
      </c>
      <c r="D100" s="26"/>
      <c r="H100" s="3" t="s">
        <v>410</v>
      </c>
    </row>
    <row r="101" spans="1:8" x14ac:dyDescent="0.25">
      <c r="B101" s="36" t="s">
        <v>376</v>
      </c>
      <c r="C101" s="26"/>
      <c r="D101" s="26"/>
    </row>
    <row r="102" spans="1:8" x14ac:dyDescent="0.25">
      <c r="B102" s="36" t="s">
        <v>377</v>
      </c>
      <c r="C102" s="35"/>
      <c r="D102" s="35"/>
    </row>
    <row r="105" spans="1:8" x14ac:dyDescent="0.25">
      <c r="A105" s="61" t="s">
        <v>393</v>
      </c>
      <c r="B105" s="59" t="s">
        <v>364</v>
      </c>
      <c r="C105" s="60"/>
      <c r="D105" s="17"/>
    </row>
    <row r="106" spans="1:8" x14ac:dyDescent="0.25">
      <c r="B106" s="59" t="s">
        <v>365</v>
      </c>
      <c r="C106" s="60"/>
      <c r="D106" s="17"/>
    </row>
    <row r="107" spans="1:8" x14ac:dyDescent="0.25">
      <c r="B107" s="36" t="s">
        <v>366</v>
      </c>
      <c r="C107" s="27"/>
      <c r="D107" s="26"/>
    </row>
    <row r="108" spans="1:8" x14ac:dyDescent="0.25">
      <c r="B108" s="36" t="s">
        <v>367</v>
      </c>
      <c r="C108" s="27"/>
      <c r="D108" s="26"/>
    </row>
    <row r="109" spans="1:8" x14ac:dyDescent="0.25">
      <c r="B109" s="36" t="s">
        <v>368</v>
      </c>
      <c r="C109" s="27"/>
      <c r="D109" s="26"/>
    </row>
    <row r="110" spans="1:8" x14ac:dyDescent="0.25">
      <c r="B110" s="36" t="s">
        <v>373</v>
      </c>
      <c r="C110" s="27"/>
      <c r="D110" s="26"/>
    </row>
    <row r="111" spans="1:8" x14ac:dyDescent="0.25">
      <c r="B111" s="36" t="s">
        <v>374</v>
      </c>
      <c r="C111" s="27"/>
      <c r="D111" s="26"/>
    </row>
    <row r="112" spans="1:8" x14ac:dyDescent="0.25">
      <c r="B112" s="36" t="s">
        <v>375</v>
      </c>
      <c r="C112" s="27"/>
      <c r="D112" s="26"/>
    </row>
    <row r="113" spans="1:4" x14ac:dyDescent="0.25">
      <c r="B113" s="36" t="s">
        <v>376</v>
      </c>
      <c r="C113" s="26"/>
      <c r="D113" s="26"/>
    </row>
    <row r="114" spans="1:4" x14ac:dyDescent="0.25">
      <c r="B114" s="36" t="s">
        <v>377</v>
      </c>
      <c r="C114" s="35"/>
      <c r="D114" s="35"/>
    </row>
    <row r="117" spans="1:4" x14ac:dyDescent="0.25">
      <c r="A117" s="61" t="s">
        <v>394</v>
      </c>
      <c r="B117" s="59" t="s">
        <v>364</v>
      </c>
      <c r="C117" s="60">
        <v>1000</v>
      </c>
      <c r="D117" s="17"/>
    </row>
    <row r="118" spans="1:4" x14ac:dyDescent="0.25">
      <c r="B118" s="59" t="s">
        <v>365</v>
      </c>
      <c r="C118" s="60"/>
      <c r="D118" s="17"/>
    </row>
    <row r="119" spans="1:4" x14ac:dyDescent="0.25">
      <c r="B119" s="36" t="s">
        <v>366</v>
      </c>
      <c r="C119" s="27">
        <v>6</v>
      </c>
      <c r="D119" s="26"/>
    </row>
    <row r="120" spans="1:4" x14ac:dyDescent="0.25">
      <c r="B120" s="36" t="s">
        <v>367</v>
      </c>
      <c r="C120" s="63">
        <v>6000.1980000000003</v>
      </c>
      <c r="D120" s="26"/>
    </row>
    <row r="121" spans="1:4" x14ac:dyDescent="0.25">
      <c r="B121" s="36" t="s">
        <v>368</v>
      </c>
      <c r="C121" s="63">
        <v>6000.4139999999998</v>
      </c>
      <c r="D121" s="26"/>
    </row>
    <row r="122" spans="1:4" x14ac:dyDescent="0.25">
      <c r="B122" s="36" t="s">
        <v>373</v>
      </c>
      <c r="C122" s="63">
        <v>21</v>
      </c>
      <c r="D122" s="26"/>
    </row>
    <row r="123" spans="1:4" x14ac:dyDescent="0.25">
      <c r="B123" s="36" t="s">
        <v>374</v>
      </c>
      <c r="C123" s="63">
        <v>6</v>
      </c>
      <c r="D123" s="26"/>
    </row>
    <row r="124" spans="1:4" x14ac:dyDescent="0.25">
      <c r="B124" s="36" t="s">
        <v>375</v>
      </c>
      <c r="C124" s="63">
        <v>126</v>
      </c>
      <c r="D124" s="26"/>
    </row>
    <row r="125" spans="1:4" x14ac:dyDescent="0.25">
      <c r="B125" s="36" t="s">
        <v>376</v>
      </c>
      <c r="C125" s="64">
        <f>(C120*C124)/1000</f>
        <v>756.02494800000011</v>
      </c>
      <c r="D125" s="26"/>
    </row>
    <row r="126" spans="1:4" x14ac:dyDescent="0.25">
      <c r="B126" s="36" t="s">
        <v>377</v>
      </c>
      <c r="C126" s="64">
        <v>807.66</v>
      </c>
      <c r="D126" s="35"/>
    </row>
    <row r="129" spans="1:4" x14ac:dyDescent="0.25">
      <c r="A129" s="61" t="s">
        <v>395</v>
      </c>
      <c r="B129" s="59" t="s">
        <v>364</v>
      </c>
      <c r="C129" s="60">
        <v>4800</v>
      </c>
      <c r="D129" s="17"/>
    </row>
    <row r="130" spans="1:4" x14ac:dyDescent="0.25">
      <c r="B130" s="59" t="s">
        <v>365</v>
      </c>
      <c r="C130" s="60"/>
      <c r="D130" s="17"/>
    </row>
    <row r="131" spans="1:4" x14ac:dyDescent="0.25">
      <c r="B131" s="65" t="s">
        <v>366</v>
      </c>
      <c r="C131" s="66">
        <v>0</v>
      </c>
      <c r="D131" s="67"/>
    </row>
    <row r="132" spans="1:4" x14ac:dyDescent="0.25">
      <c r="B132" s="36" t="s">
        <v>367</v>
      </c>
      <c r="C132" s="63"/>
      <c r="D132" s="26"/>
    </row>
    <row r="133" spans="1:4" x14ac:dyDescent="0.25">
      <c r="B133" s="36" t="s">
        <v>368</v>
      </c>
      <c r="C133" s="63"/>
      <c r="D133" s="26"/>
    </row>
    <row r="134" spans="1:4" x14ac:dyDescent="0.25">
      <c r="B134" s="36" t="s">
        <v>373</v>
      </c>
      <c r="C134" s="63">
        <v>13</v>
      </c>
      <c r="D134" s="26"/>
    </row>
    <row r="135" spans="1:4" x14ac:dyDescent="0.25">
      <c r="B135" s="36" t="s">
        <v>374</v>
      </c>
      <c r="C135" s="63">
        <v>10</v>
      </c>
      <c r="D135" s="26"/>
    </row>
    <row r="136" spans="1:4" x14ac:dyDescent="0.25">
      <c r="B136" s="36" t="s">
        <v>375</v>
      </c>
      <c r="C136" s="63">
        <f>C135*C134</f>
        <v>130</v>
      </c>
      <c r="D136" s="26"/>
    </row>
    <row r="137" spans="1:4" x14ac:dyDescent="0.25">
      <c r="B137" s="36" t="s">
        <v>376</v>
      </c>
      <c r="C137" s="64"/>
      <c r="D137" s="26"/>
    </row>
    <row r="138" spans="1:4" x14ac:dyDescent="0.25">
      <c r="B138" s="36" t="s">
        <v>377</v>
      </c>
      <c r="C138" s="64"/>
      <c r="D138" s="35"/>
    </row>
    <row r="142" spans="1:4" x14ac:dyDescent="0.25">
      <c r="A142" s="61" t="s">
        <v>400</v>
      </c>
      <c r="B142" s="59" t="s">
        <v>364</v>
      </c>
      <c r="C142" s="60">
        <v>5000</v>
      </c>
      <c r="D142" s="17"/>
    </row>
    <row r="143" spans="1:4" x14ac:dyDescent="0.25">
      <c r="B143" s="59" t="s">
        <v>365</v>
      </c>
      <c r="C143" s="60"/>
      <c r="D143" s="17"/>
    </row>
    <row r="144" spans="1:4" x14ac:dyDescent="0.25">
      <c r="B144" s="65" t="s">
        <v>366</v>
      </c>
      <c r="C144" s="66">
        <v>0</v>
      </c>
      <c r="D144" s="67"/>
    </row>
    <row r="145" spans="1:4" x14ac:dyDescent="0.25">
      <c r="B145" s="36" t="s">
        <v>367</v>
      </c>
      <c r="C145" s="63">
        <v>30</v>
      </c>
      <c r="D145" s="26"/>
    </row>
    <row r="146" spans="1:4" x14ac:dyDescent="0.25">
      <c r="B146" s="36" t="s">
        <v>368</v>
      </c>
      <c r="C146" s="63"/>
      <c r="D146" s="26"/>
    </row>
    <row r="147" spans="1:4" x14ac:dyDescent="0.25">
      <c r="B147" s="36" t="s">
        <v>373</v>
      </c>
      <c r="C147" s="63">
        <v>15</v>
      </c>
      <c r="D147" s="26"/>
    </row>
    <row r="148" spans="1:4" x14ac:dyDescent="0.25">
      <c r="B148" s="36" t="s">
        <v>374</v>
      </c>
      <c r="C148" s="63">
        <v>4</v>
      </c>
      <c r="D148" s="26"/>
    </row>
    <row r="149" spans="1:4" x14ac:dyDescent="0.25">
      <c r="B149" s="36" t="s">
        <v>375</v>
      </c>
      <c r="C149" s="63">
        <v>60</v>
      </c>
      <c r="D149" s="26"/>
    </row>
    <row r="150" spans="1:4" x14ac:dyDescent="0.25">
      <c r="B150" s="36" t="s">
        <v>376</v>
      </c>
      <c r="C150" s="64">
        <v>225</v>
      </c>
      <c r="D150" s="26"/>
    </row>
    <row r="151" spans="1:4" x14ac:dyDescent="0.25">
      <c r="B151" s="36" t="s">
        <v>377</v>
      </c>
      <c r="C151" s="64"/>
      <c r="D151" s="35"/>
    </row>
    <row r="153" spans="1:4" x14ac:dyDescent="0.25">
      <c r="A153" s="61" t="s">
        <v>401</v>
      </c>
      <c r="B153" s="59" t="s">
        <v>364</v>
      </c>
      <c r="C153" s="60">
        <v>500</v>
      </c>
      <c r="D153" s="17"/>
    </row>
    <row r="154" spans="1:4" x14ac:dyDescent="0.25">
      <c r="B154" s="59" t="s">
        <v>365</v>
      </c>
      <c r="C154" s="60"/>
      <c r="D154" s="17"/>
    </row>
    <row r="155" spans="1:4" x14ac:dyDescent="0.25">
      <c r="B155" s="65" t="s">
        <v>366</v>
      </c>
      <c r="C155" s="66">
        <v>0</v>
      </c>
      <c r="D155" s="67"/>
    </row>
    <row r="156" spans="1:4" x14ac:dyDescent="0.25">
      <c r="B156" s="36" t="s">
        <v>367</v>
      </c>
      <c r="C156" s="63">
        <f>500*6</f>
        <v>3000</v>
      </c>
      <c r="D156" s="26"/>
    </row>
    <row r="157" spans="1:4" x14ac:dyDescent="0.25">
      <c r="B157" s="36" t="s">
        <v>368</v>
      </c>
      <c r="C157" s="63"/>
      <c r="D157" s="26"/>
    </row>
    <row r="158" spans="1:4" x14ac:dyDescent="0.25">
      <c r="B158" s="36" t="s">
        <v>373</v>
      </c>
      <c r="C158" s="63"/>
      <c r="D158" s="26"/>
    </row>
    <row r="159" spans="1:4" x14ac:dyDescent="0.25">
      <c r="B159" s="36" t="s">
        <v>374</v>
      </c>
      <c r="C159" s="63"/>
      <c r="D159" s="26"/>
    </row>
    <row r="160" spans="1:4" x14ac:dyDescent="0.25">
      <c r="B160" s="36" t="s">
        <v>375</v>
      </c>
      <c r="C160" s="63"/>
      <c r="D160" s="26"/>
    </row>
    <row r="161" spans="2:4" x14ac:dyDescent="0.25">
      <c r="B161" s="36" t="s">
        <v>376</v>
      </c>
      <c r="C161" s="64"/>
      <c r="D161" s="26"/>
    </row>
    <row r="162" spans="2:4" x14ac:dyDescent="0.25">
      <c r="B162" s="36" t="s">
        <v>377</v>
      </c>
      <c r="C162" s="64"/>
      <c r="D162" s="35"/>
    </row>
  </sheetData>
  <mergeCells count="71">
    <mergeCell ref="M85:N85"/>
    <mergeCell ref="Q85:R85"/>
    <mergeCell ref="M86:N86"/>
    <mergeCell ref="Q86:R86"/>
    <mergeCell ref="A1:B2"/>
    <mergeCell ref="M80:N80"/>
    <mergeCell ref="Q80:R80"/>
    <mergeCell ref="H81:I81"/>
    <mergeCell ref="M81:N81"/>
    <mergeCell ref="Q81:R81"/>
    <mergeCell ref="H82:I82"/>
    <mergeCell ref="M82:N82"/>
    <mergeCell ref="Q82:R82"/>
    <mergeCell ref="M75:N75"/>
    <mergeCell ref="Q75:R75"/>
    <mergeCell ref="H77:I77"/>
    <mergeCell ref="M77:N77"/>
    <mergeCell ref="Q77:R77"/>
    <mergeCell ref="H78:I78"/>
    <mergeCell ref="M78:N78"/>
    <mergeCell ref="Q78:R78"/>
    <mergeCell ref="M69:N69"/>
    <mergeCell ref="Q69:R69"/>
    <mergeCell ref="M71:N71"/>
    <mergeCell ref="Q71:R71"/>
    <mergeCell ref="H72:I72"/>
    <mergeCell ref="M72:N72"/>
    <mergeCell ref="Q72:R72"/>
    <mergeCell ref="O3:R3"/>
    <mergeCell ref="F4:G4"/>
    <mergeCell ref="H4:I4"/>
    <mergeCell ref="K4:N4"/>
    <mergeCell ref="O4:R4"/>
    <mergeCell ref="M84:N84"/>
    <mergeCell ref="Q84:R84"/>
    <mergeCell ref="H79:I79"/>
    <mergeCell ref="M79:N79"/>
    <mergeCell ref="Q79:R79"/>
    <mergeCell ref="H80:I80"/>
    <mergeCell ref="M83:N83"/>
    <mergeCell ref="Q83:R83"/>
    <mergeCell ref="H75:I75"/>
    <mergeCell ref="H70:I70"/>
    <mergeCell ref="M70:N70"/>
    <mergeCell ref="Q70:R70"/>
    <mergeCell ref="H71:I71"/>
    <mergeCell ref="H73:I73"/>
    <mergeCell ref="M73:N73"/>
    <mergeCell ref="Q73:R73"/>
    <mergeCell ref="Q66:R66"/>
    <mergeCell ref="H67:I67"/>
    <mergeCell ref="C4:D4"/>
    <mergeCell ref="H74:I74"/>
    <mergeCell ref="M74:N74"/>
    <mergeCell ref="Q74:R74"/>
    <mergeCell ref="K5:L5"/>
    <mergeCell ref="M5:N5"/>
    <mergeCell ref="O5:P5"/>
    <mergeCell ref="Q5:R5"/>
    <mergeCell ref="M67:N67"/>
    <mergeCell ref="Q67:R67"/>
    <mergeCell ref="H68:I68"/>
    <mergeCell ref="M68:N68"/>
    <mergeCell ref="Q68:R68"/>
    <mergeCell ref="H69:I69"/>
    <mergeCell ref="C3:E3"/>
    <mergeCell ref="F3:G3"/>
    <mergeCell ref="H3:I3"/>
    <mergeCell ref="K3:N3"/>
    <mergeCell ref="H66:I66"/>
    <mergeCell ref="M66:N6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A1D6E083B504296038AFE163DC71B" ma:contentTypeVersion="17" ma:contentTypeDescription="Crée un document." ma:contentTypeScope="" ma:versionID="7c0d08e1f3cc0d8a31f18a96f5df355e">
  <xsd:schema xmlns:xsd="http://www.w3.org/2001/XMLSchema" xmlns:xs="http://www.w3.org/2001/XMLSchema" xmlns:p="http://schemas.microsoft.com/office/2006/metadata/properties" xmlns:ns2="ccfad05d-57e6-4a0b-9e95-14c7898ce79d" xmlns:ns3="d3e5709f-9bfc-42c4-ac3f-e87c0f2dff60" targetNamespace="http://schemas.microsoft.com/office/2006/metadata/properties" ma:root="true" ma:fieldsID="4bf1f43512e5365fbdd9249ba7b3f4ae" ns2:_="" ns3:_="">
    <xsd:import namespace="ccfad05d-57e6-4a0b-9e95-14c7898ce79d"/>
    <xsd:import namespace="d3e5709f-9bfc-42c4-ac3f-e87c0f2dff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ad05d-57e6-4a0b-9e95-14c7898ce7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6" nillable="true" ma:displayName="État de validation" ma:internalName="_x00c9_tat_x0020_de_x0020_validation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d63475f7-f5ca-46b3-9ca9-48f4912bd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5709f-9bfc-42c4-ac3f-e87c0f2dff6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04290e2-dedb-43ed-a141-769141ef5e30}" ma:internalName="TaxCatchAll" ma:showField="CatchAllData" ma:web="d3e5709f-9bfc-42c4-ac3f-e87c0f2dff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cfad05d-57e6-4a0b-9e95-14c7898ce79d" xsi:nil="true"/>
    <lcf76f155ced4ddcb4097134ff3c332f xmlns="ccfad05d-57e6-4a0b-9e95-14c7898ce79d">
      <Terms xmlns="http://schemas.microsoft.com/office/infopath/2007/PartnerControls"/>
    </lcf76f155ced4ddcb4097134ff3c332f>
    <TaxCatchAll xmlns="d3e5709f-9bfc-42c4-ac3f-e87c0f2dff60" xsi:nil="true"/>
  </documentManagement>
</p:properties>
</file>

<file path=customXml/itemProps1.xml><?xml version="1.0" encoding="utf-8"?>
<ds:datastoreItem xmlns:ds="http://schemas.openxmlformats.org/officeDocument/2006/customXml" ds:itemID="{956C835C-A577-4502-AB8E-5FCA2167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fad05d-57e6-4a0b-9e95-14c7898ce79d"/>
    <ds:schemaRef ds:uri="d3e5709f-9bfc-42c4-ac3f-e87c0f2dff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B4438C-B728-4F69-A388-E2DE7B0C91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A7C62-E875-49D8-B432-F0746F4D6000}">
  <ds:schemaRefs>
    <ds:schemaRef ds:uri="http://schemas.microsoft.com/office/2006/metadata/properties"/>
    <ds:schemaRef ds:uri="http://schemas.microsoft.com/office/infopath/2007/PartnerControls"/>
    <ds:schemaRef ds:uri="ccfad05d-57e6-4a0b-9e95-14c7898ce79d"/>
    <ds:schemaRef ds:uri="d3e5709f-9bfc-42c4-ac3f-e87c0f2dff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Articles</vt:lpstr>
      <vt:lpstr>Emballages</vt:lpstr>
      <vt:lpstr>Palettisation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BEAUDEMONT</dc:creator>
  <cp:keywords/>
  <dc:description/>
  <cp:lastModifiedBy>Audrey BEAUDEMONT</cp:lastModifiedBy>
  <cp:revision/>
  <dcterms:created xsi:type="dcterms:W3CDTF">2024-09-16T08:08:08Z</dcterms:created>
  <dcterms:modified xsi:type="dcterms:W3CDTF">2026-07-22T14:22:47Z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0x010100ED3A1D6E083B504296038AFE163DC71B</vt:lpwstr>
  </property>
  <property fmtid="{D5CDD505-2E9C-101B-9397-08002B2CF9AE}" pid="3" name="MediaServiceImageTags">
    <vt:lpwstr/>
  </property>
</Properties>
</file>